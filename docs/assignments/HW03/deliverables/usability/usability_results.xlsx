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tmp\"/>
    </mc:Choice>
  </mc:AlternateContent>
  <xr:revisionPtr revIDLastSave="0" documentId="13_ncr:1_{18EC1B30-3E68-47C7-9E19-C7744B441C99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Sessions" sheetId="1" r:id="rId1"/>
    <sheet name="Observations" sheetId="2" r:id="rId2"/>
    <sheet name="SUS" sheetId="3" r:id="rId3"/>
    <sheet name="Recordings" sheetId="4" r:id="rId4"/>
  </sheets>
  <definedNames>
    <definedName name="_xlnm._FilterDatabase" localSheetId="1" hidden="1">Observations!$A$1:$I$65</definedName>
    <definedName name="_xlnm._FilterDatabase" localSheetId="3" hidden="1">Recordings!$A$1:$J$9</definedName>
    <definedName name="_xlnm._FilterDatabase" localSheetId="0" hidden="1">Sessions!$A$1:$M$9</definedName>
    <definedName name="_xlnm._FilterDatabase" localSheetId="2" hidden="1">SUS!$A$1:$R$9</definedName>
    <definedName name="_xlnm.Print_Area" localSheetId="1">Observations!$A$1:$I$65</definedName>
    <definedName name="_xlnm.Print_Area" localSheetId="3">Recordings!$A$1:$J$9</definedName>
    <definedName name="_xlnm.Print_Area" localSheetId="0">Sessions!$A$1:$M$9</definedName>
    <definedName name="_xlnm.Print_Area" localSheetId="2">SUS!$A$1:$R$9</definedName>
    <definedName name="_xlnm.Print_Titles" localSheetId="1">Observations!$1:$1</definedName>
    <definedName name="_xlnm.Print_Titles" localSheetId="3">Recordings!$1:$1</definedName>
    <definedName name="_xlnm.Print_Titles" localSheetId="0">Sessions!$1:$1</definedName>
    <definedName name="_xlnm.Print_Titles" localSheetId="2">SUS!$1:$1</definedName>
  </definedNames>
  <calcPr calcId="191029" forceFullCalc="1"/>
</workbook>
</file>

<file path=xl/calcChain.xml><?xml version="1.0" encoding="utf-8"?>
<calcChain xmlns="http://schemas.openxmlformats.org/spreadsheetml/2006/main">
  <c r="R8" i="3" l="1"/>
  <c r="L8" i="3"/>
  <c r="M8" i="3" s="1"/>
  <c r="J9" i="1" s="1"/>
  <c r="R7" i="3"/>
  <c r="L7" i="3"/>
  <c r="M7" i="3" s="1"/>
  <c r="J8" i="1" s="1"/>
  <c r="R6" i="3"/>
  <c r="L6" i="3"/>
  <c r="M6" i="3" s="1"/>
  <c r="J7" i="1" s="1"/>
  <c r="R5" i="3"/>
  <c r="L5" i="3"/>
  <c r="M5" i="3" s="1"/>
  <c r="J6" i="1" s="1"/>
  <c r="R4" i="3"/>
  <c r="L4" i="3"/>
  <c r="M4" i="3" s="1"/>
  <c r="J5" i="1" s="1"/>
  <c r="R3" i="3"/>
  <c r="L3" i="3"/>
  <c r="M3" i="3" s="1"/>
  <c r="J4" i="1" s="1"/>
  <c r="R2" i="3"/>
  <c r="L2" i="3"/>
  <c r="M2" i="3" s="1"/>
  <c r="J3" i="1" l="1"/>
  <c r="M9" i="3"/>
</calcChain>
</file>

<file path=xl/sharedStrings.xml><?xml version="1.0" encoding="utf-8"?>
<sst xmlns="http://schemas.openxmlformats.org/spreadsheetml/2006/main" count="599" uniqueCount="236">
  <si>
    <t>session_id</t>
  </si>
  <si>
    <t>participant_id</t>
  </si>
  <si>
    <t>session_type</t>
  </si>
  <si>
    <t>consent</t>
  </si>
  <si>
    <t>completion</t>
  </si>
  <si>
    <t>duration_seconds</t>
  </si>
  <si>
    <t>errors</t>
  </si>
  <si>
    <t>hesitations</t>
  </si>
  <si>
    <t>interventions</t>
  </si>
  <si>
    <t>sus_score</t>
  </si>
  <si>
    <t>notes_ref</t>
  </si>
  <si>
    <t>recording_ref</t>
  </si>
  <si>
    <t>evidence_status</t>
  </si>
  <si>
    <t>Pilot</t>
  </si>
  <si>
    <t>Not documented</t>
  </si>
  <si>
    <t>Pilot completed</t>
  </si>
  <si>
    <t>Observations!A2:I9</t>
  </si>
  <si>
    <t>recordings/video_links.md (Pilot.mp4)</t>
  </si>
  <si>
    <t>Pilot recording indexed; consent not documented; excluded from aggregates</t>
  </si>
  <si>
    <t>P1</t>
  </si>
  <si>
    <t>Official</t>
  </si>
  <si>
    <t>Yes</t>
  </si>
  <si>
    <t>Independent</t>
  </si>
  <si>
    <t>Observations!A10:I17</t>
  </si>
  <si>
    <t>recordings/video_links.md (P1.mp4)</t>
  </si>
  <si>
    <t>Recorded; indexed in workbook and recording manifest</t>
  </si>
  <si>
    <t>P2</t>
  </si>
  <si>
    <t>Observations!A18:I25</t>
  </si>
  <si>
    <t>recordings/video_links.md (P2.mp4)</t>
  </si>
  <si>
    <t>P3</t>
  </si>
  <si>
    <t>Observations!A26:I33</t>
  </si>
  <si>
    <t>recordings/video_links.md (P3.mp4)</t>
  </si>
  <si>
    <t>P4</t>
  </si>
  <si>
    <t>Observations!A34:I41</t>
  </si>
  <si>
    <t>recordings/video_links.md (P4.mp4)</t>
  </si>
  <si>
    <t>P5</t>
  </si>
  <si>
    <t>Observations!A42:I49</t>
  </si>
  <si>
    <t>recordings/video_links.md (P5.mp4)</t>
  </si>
  <si>
    <t>P6</t>
  </si>
  <si>
    <t>Observations!A50:I57</t>
  </si>
  <si>
    <t>recordings/video_links.md (P6.mp4)</t>
  </si>
  <si>
    <t>P7</t>
  </si>
  <si>
    <t>Observations!A58:I65</t>
  </si>
  <si>
    <t>recordings/video_links.md (P7.mp4)</t>
  </si>
  <si>
    <t>checkpoint</t>
  </si>
  <si>
    <t>timestamp</t>
  </si>
  <si>
    <t>outcome</t>
  </si>
  <si>
    <t>observed_action_or_quote</t>
  </si>
  <si>
    <t>error</t>
  </si>
  <si>
    <t>hesitation</t>
  </si>
  <si>
    <t>intervention</t>
  </si>
  <si>
    <t>Product List</t>
  </si>
  <si>
    <t>00:05</t>
  </si>
  <si>
    <t>Opened product list and located iPhone 15 Pro Max</t>
  </si>
  <si>
    <t>Session record</t>
  </si>
  <si>
    <t>Product Detail</t>
  </si>
  <si>
    <t>00:12</t>
  </si>
  <si>
    <t>Opened product detail page and reviewed specs</t>
  </si>
  <si>
    <t>Add to Cart</t>
  </si>
  <si>
    <t>00:20</t>
  </si>
  <si>
    <t>Recovered</t>
  </si>
  <si>
    <t>Clicked Add to Cart once, nothing happened. Clicked again to succeed.</t>
  </si>
  <si>
    <t>Cart</t>
  </si>
  <si>
    <t>00:30</t>
  </si>
  <si>
    <t>Reviewed cart contents and subtotal 30,000,000 VND</t>
  </si>
  <si>
    <t>Checkout</t>
  </si>
  <si>
    <t>00:42</t>
  </si>
  <si>
    <t>Proceeded to checkout page</t>
  </si>
  <si>
    <t>Order submission</t>
  </si>
  <si>
    <t>00:52</t>
  </si>
  <si>
    <t>Clicked place order button</t>
  </si>
  <si>
    <t>Post-checkout cart</t>
  </si>
  <si>
    <t>01:02</t>
  </si>
  <si>
    <t>Noticed order placed successfully</t>
  </si>
  <si>
    <t>Order History</t>
  </si>
  <si>
    <t>01:12</t>
  </si>
  <si>
    <t>Verified order status 'Chờ xác nhận' in profile</t>
  </si>
  <si>
    <t>00:08</t>
  </si>
  <si>
    <t>Located iPhone 15 Pro Max in product list</t>
  </si>
  <si>
    <t>00:16</t>
  </si>
  <si>
    <t>Opened Product Detail page</t>
  </si>
  <si>
    <t>00:24</t>
  </si>
  <si>
    <t>First click on Add to Cart produced no feedback; clicked second time</t>
  </si>
  <si>
    <t>00:35</t>
  </si>
  <si>
    <t>Checked Cart with 1 item and 30,000,000 VND subtotal</t>
  </si>
  <si>
    <t>00:45</t>
  </si>
  <si>
    <t>Hesitation</t>
  </si>
  <si>
    <t>Noticed total amount input on Checkout page is editable</t>
  </si>
  <si>
    <t>00:56</t>
  </si>
  <si>
    <t>Submitted order without coupon</t>
  </si>
  <si>
    <t>01:04</t>
  </si>
  <si>
    <t>Cart remained populated post checkout</t>
  </si>
  <si>
    <t>Found newest order status 'Chờ xác nhận' in Profile</t>
  </si>
  <si>
    <t>Located iPhone 15 Pro Max quickly</t>
  </si>
  <si>
    <t>Opened detail view</t>
  </si>
  <si>
    <t>00:18</t>
  </si>
  <si>
    <t>Double clicked Add to Cart when first click gave no response</t>
  </si>
  <si>
    <t>00:26</t>
  </si>
  <si>
    <t>Reviewed cart and clicked checkout</t>
  </si>
  <si>
    <t>Filled checkout details quickly</t>
  </si>
  <si>
    <t>00:44</t>
  </si>
  <si>
    <t>Completed checkout API call</t>
  </si>
  <si>
    <t>Puzzled why cart still had items after placing order</t>
  </si>
  <si>
    <t>Verified 'Chờ xác nhận' order in Profile</t>
  </si>
  <si>
    <t>Located iPhone 15 Pro Max</t>
  </si>
  <si>
    <t>Reviewed detail page</t>
  </si>
  <si>
    <t>00:25</t>
  </si>
  <si>
    <t>Clicked Add to Cart twice to get confirmation</t>
  </si>
  <si>
    <t>00:36</t>
  </si>
  <si>
    <t>Opened cart and verified subtotal</t>
  </si>
  <si>
    <t>00:48</t>
  </si>
  <si>
    <t>Tested typing into editable total field at Checkout</t>
  </si>
  <si>
    <t>00:58</t>
  </si>
  <si>
    <t>Submitted order successfully</t>
  </si>
  <si>
    <t>01:08</t>
  </si>
  <si>
    <t>Noticed cart items retained</t>
  </si>
  <si>
    <t>01:16</t>
  </si>
  <si>
    <t>Checked Order History status</t>
  </si>
  <si>
    <t>00:10</t>
  </si>
  <si>
    <t>Scanned product list and found iPhone</t>
  </si>
  <si>
    <t>Read product description</t>
  </si>
  <si>
    <t>Confused when first Add to Cart click did nothing; paused then clicked again</t>
  </si>
  <si>
    <t>Navigated to cart and checked total</t>
  </si>
  <si>
    <t>00:55</t>
  </si>
  <si>
    <t>Completed checkout form</t>
  </si>
  <si>
    <t>01:06</t>
  </si>
  <si>
    <t>Order submitted</t>
  </si>
  <si>
    <t>Asked why items were still inside the cart after order completed</t>
  </si>
  <si>
    <t>01:26</t>
  </si>
  <si>
    <t>Identified order status 'Chờ xác nhận'</t>
  </si>
  <si>
    <t>Scanned the product grid, commented positively on visual design</t>
  </si>
  <si>
    <t>Opened Product Detail page, inspected specs layout</t>
  </si>
  <si>
    <t>Clicked Add to Cart; noticed no toast/animation, paused 2s then clicked again</t>
  </si>
  <si>
    <t>00:34</t>
  </si>
  <si>
    <t>Opened Cart, checked subtotal alignment and button hover styles</t>
  </si>
  <si>
    <t>00:46</t>
  </si>
  <si>
    <t>At Checkout, clicked Total box and noticed it was an editable text input</t>
  </si>
  <si>
    <t>Submitted order after verifying form inputs</t>
  </si>
  <si>
    <t>01:05</t>
  </si>
  <si>
    <t>Noticed Cart badge still showed '1' post-checkout</t>
  </si>
  <si>
    <t>01:14</t>
  </si>
  <si>
    <t>Navigated to Profile, confirmed new order rendered</t>
  </si>
  <si>
    <t>Found iPhone 15 Pro Max immediately using quick visual scan</t>
  </si>
  <si>
    <t>Navigated to detail page without reading long description</t>
  </si>
  <si>
    <t>00:15</t>
  </si>
  <si>
    <t>Double-clicked Add to Cart in rapid succession to bypass unresponsiveness</t>
  </si>
  <si>
    <t>00:22</t>
  </si>
  <si>
    <t>Skipped Cart review and clicked Checkout directly</t>
  </si>
  <si>
    <t>00:32</t>
  </si>
  <si>
    <t>Inspected Checkout fields, noticed Total field allowed text entry</t>
  </si>
  <si>
    <t>Submitted order API request without entering coupon</t>
  </si>
  <si>
    <t>00:50</t>
  </si>
  <si>
    <t>Observed cart state not reset in client memory post checkout</t>
  </si>
  <si>
    <t>Opened Profile, verified order status 'Chờ xác nhận'</t>
  </si>
  <si>
    <t>Scanned product list slowly before selecting iPhone 15 Pro Max</t>
  </si>
  <si>
    <t>Read product title and description carefully</t>
  </si>
  <si>
    <t>Clicked Add to Cart once; nothing happened, moved cursor around, clicked again 3s later</t>
  </si>
  <si>
    <t>Opened Cart, double-checked quantity 1 and total price 30,000,000 VND</t>
  </si>
  <si>
    <t>At Checkout, accidentally clicked outside input form before clicking Place Order</t>
  </si>
  <si>
    <t>Clicked Place Order, saw success message</t>
  </si>
  <si>
    <t>Saw items still in Cart, asked moderator 'Did my order actually go through?'</t>
  </si>
  <si>
    <t>01:24</t>
  </si>
  <si>
    <t>Navigated to Profile, checked list until seeing 'Chờ xác nhận' to feel reassured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</si>
  <si>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</si>
  <si>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</si>
  <si>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</si>
  <si>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</si>
  <si>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</si>
  <si>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</si>
  <si>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</si>
  <si>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</si>
  <si>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</si>
  <si>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</si>
  <si>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adjusted_sum</t>
  </si>
  <si>
    <t>clarity</t>
  </si>
  <si>
    <t>error_recovery</t>
  </si>
  <si>
    <t>speed</t>
  </si>
  <si>
    <t>trust</t>
  </si>
  <si>
    <t>status</t>
  </si>
  <si>
    <t>Clear layout, but button bug confused me</t>
  </si>
  <si>
    <t>Clicking add to cart twice worked fine</t>
  </si>
  <si>
    <t>Fast navigation speed</t>
  </si>
  <si>
    <t>Medium trust due to editable price field</t>
  </si>
  <si>
    <t>Modern interface, straightforward steps</t>
  </si>
  <si>
    <t>Noticed missing cart clear after checkout</t>
  </si>
  <si>
    <t>Very responsive</t>
  </si>
  <si>
    <t>Trusted product details but suspicious of total input</t>
  </si>
  <si>
    <t>Search and product view are clean</t>
  </si>
  <si>
    <t>Recovered easily from double click requirement</t>
  </si>
  <si>
    <t>Good speed</t>
  </si>
  <si>
    <t>High confidence after checking order history</t>
  </si>
  <si>
    <t>Text is readable, checkout form is simple</t>
  </si>
  <si>
    <t>Needed extra time when cart didn't update initially</t>
  </si>
  <si>
    <t>Acceptable speed</t>
  </si>
  <si>
    <t>Felt order went through upon seeing success screen</t>
  </si>
  <si>
    <t>Aesthetically pleasing visual components</t>
  </si>
  <si>
    <t>Quickly figured out the second click was needed</t>
  </si>
  <si>
    <t>Fast page loads</t>
  </si>
  <si>
    <t>Confused why total price box allowed typing</t>
  </si>
  <si>
    <t>Order status view is easy to spot in profile</t>
  </si>
  <si>
    <t>Re-clicked Add to Cart without hesitation</t>
  </si>
  <si>
    <t>Smooth overall flow</t>
  </si>
  <si>
    <t>Trusted status 'Chờ xác nhận'</t>
  </si>
  <si>
    <t>Simple workflow for buying products</t>
  </si>
  <si>
    <t>Puzzled by retained items in cart post-checkout</t>
  </si>
  <si>
    <t>Moderate speed</t>
  </si>
  <si>
    <t>Checked profile history twice to verify order</t>
  </si>
  <si>
    <t>AVERAGE</t>
  </si>
  <si>
    <t>Calculated from P1?P7; pilot excluded</t>
  </si>
  <si>
    <t>filename</t>
  </si>
  <si>
    <t>drive_folder_url</t>
  </si>
  <si>
    <t>file_size_bytes</t>
  </si>
  <si>
    <t>sha256</t>
  </si>
  <si>
    <t>resolution</t>
  </si>
  <si>
    <t>local_verified</t>
  </si>
  <si>
    <t>drive_access_verified</t>
  </si>
  <si>
    <t>Pilot.mp4</t>
  </si>
  <si>
    <t>https://drive.google.com/drive/u/0/folders/1_3wIHUVqJGG-mPwcZotoAStgRjd6X9x_</t>
  </si>
  <si>
    <t>B34A705CB99820C43741C6595391D2715479783160AFE2AEB76067E17CD65C3A</t>
  </si>
  <si>
    <t>1920x1080</t>
  </si>
  <si>
    <t>Yes - publicly listed</t>
  </si>
  <si>
    <t>Local file and public Drive listing verified on 3 August 2026</t>
  </si>
  <si>
    <t>P1.mp4</t>
  </si>
  <si>
    <t>373372F85253EC6C783A1501A760E65E39EF0E11C937F71E0A67C4C22A6D04AB</t>
  </si>
  <si>
    <t>P2.mp4</t>
  </si>
  <si>
    <t>FD92D109F10C2FDF5E1C6F8263A4EB3462DA4AB3D4EA60BE3F813A1B8C9C5BC9</t>
  </si>
  <si>
    <t>P3.mp4</t>
  </si>
  <si>
    <t>DAA85393B6BACB5370D57E1086562BF7907EC3BEFFB2580C38F9EC1FEA75BA55</t>
  </si>
  <si>
    <t>P4.mp4</t>
  </si>
  <si>
    <t>D1089B51D4BB25E0981A85BA9D79F5040078D4240B42B28FBDF78302BEEF50EE</t>
  </si>
  <si>
    <t>P5.mp4</t>
  </si>
  <si>
    <t>B5F850BF0A2FBDC191481C18E42DE9144B213BDB34789EBEA4A0DD6BAFB63CE9</t>
  </si>
  <si>
    <t>P6.mp4</t>
  </si>
  <si>
    <t>E41A12B239754E8864234442D56B1E7F20320D83C662B3CB32AFBC30D1AC5C60</t>
  </si>
  <si>
    <t>P7.mp4</t>
  </si>
  <si>
    <t>E4712473D8A3E2A4DF4CAE61F4835A653FE5B8D621210C0E92654AB23FF8CA95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</si>
</sst>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3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3" fillId="0" borderId="0" xfId="1" applyAlignment="1">
      <alignment vertical="top" wrapText="1"/>
    </xf>
  </cellXfs>
  <cellStyles count="2">
    <cellStyle name="Hyperlink" xfId="1" builtinId="8"/>
    <cellStyle name="Normal" xfId="0" builtinId="0"/>
  </cellStyles>
  <dxfs count="1"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_3wIHUVqJGG-mPwcZotoAStgRjd6X9x_" TargetMode="External"/><Relationship Id="rId3" Type="http://schemas.openxmlformats.org/officeDocument/2006/relationships/hyperlink" Target="https://drive.google.com/drive/u/0/folders/1_3wIHUVqJGG-mPwcZotoAStgRjd6X9x_" TargetMode="External"/><Relationship Id="rId7" Type="http://schemas.openxmlformats.org/officeDocument/2006/relationships/hyperlink" Target="https://drive.google.com/drive/u/0/folders/1_3wIHUVqJGG-mPwcZotoAStgRjd6X9x_" TargetMode="External"/><Relationship Id="rId2" Type="http://schemas.openxmlformats.org/officeDocument/2006/relationships/hyperlink" Target="https://drive.google.com/drive/u/0/folders/1_3wIHUVqJGG-mPwcZotoAStgRjd6X9x_" TargetMode="External"/><Relationship Id="rId1" Type="http://schemas.openxmlformats.org/officeDocument/2006/relationships/hyperlink" Target="https://drive.google.com/drive/u/0/folders/1_3wIHUVqJGG-mPwcZotoAStgRjd6X9x_" TargetMode="External"/><Relationship Id="rId6" Type="http://schemas.openxmlformats.org/officeDocument/2006/relationships/hyperlink" Target="https://drive.google.com/drive/u/0/folders/1_3wIHUVqJGG-mPwcZotoAStgRjd6X9x_" TargetMode="External"/><Relationship Id="rId5" Type="http://schemas.openxmlformats.org/officeDocument/2006/relationships/hyperlink" Target="https://drive.google.com/drive/u/0/folders/1_3wIHUVqJGG-mPwcZotoAStgRjd6X9x_" TargetMode="External"/><Relationship Id="rId4" Type="http://schemas.openxmlformats.org/officeDocument/2006/relationships/hyperlink" Target="https://drive.google.com/drive/u/0/folders/1_3wIHUVqJGG-mPwcZotoAStgRjd6X9x_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9"/>
  <sheetViews>
    <sheetView showGridLines="0"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3" width="14" customWidth="1"/>
    <col min="4" max="5" width="16" customWidth="1"/>
    <col min="6" max="6" width="18" customWidth="1"/>
    <col min="7" max="7" width="11" customWidth="1"/>
    <col min="8" max="8" width="13" customWidth="1"/>
    <col min="9" max="9" width="14" customWidth="1"/>
    <col min="10" max="10" width="12" customWidth="1"/>
    <col min="11" max="11" width="25" customWidth="1"/>
    <col min="12" max="12" width="38" customWidth="1"/>
    <col min="13" max="13" width="46" customWidth="1"/>
  </cols>
  <sheetData>
    <row r="1" spans="1:13" ht="34.049999999999997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31.95" customHeight="1" x14ac:dyDescent="0.3">
      <c r="A2" s="2" t="s">
        <v>13</v>
      </c>
      <c r="B2" s="2" t="s">
        <v>13</v>
      </c>
      <c r="C2" s="2" t="s">
        <v>13</v>
      </c>
      <c r="D2" s="2" t="s">
        <v>14</v>
      </c>
      <c r="E2" s="2" t="s">
        <v>15</v>
      </c>
      <c r="F2" s="2">
        <v>73.599999999999994</v>
      </c>
      <c r="G2" s="2">
        <v>1</v>
      </c>
      <c r="H2" s="2">
        <v>1</v>
      </c>
      <c r="I2" s="2">
        <v>0</v>
      </c>
      <c r="J2" s="2"/>
      <c r="K2" s="2" t="s">
        <v>16</v>
      </c>
      <c r="L2" s="2" t="s">
        <v>17</v>
      </c>
      <c r="M2" s="2" t="s">
        <v>18</v>
      </c>
    </row>
    <row r="3" spans="1:13" ht="31.95" customHeight="1" x14ac:dyDescent="0.3">
      <c r="A3" s="2" t="s">
        <v>19</v>
      </c>
      <c r="B3" s="2" t="s">
        <v>19</v>
      </c>
      <c r="C3" s="2" t="s">
        <v>20</v>
      </c>
      <c r="D3" s="2" t="s">
        <v>21</v>
      </c>
      <c r="E3" s="2" t="s">
        <v>22</v>
      </c>
      <c r="F3" s="2">
        <v>75</v>
      </c>
      <c r="G3" s="2">
        <v>2</v>
      </c>
      <c r="H3" s="2">
        <v>2</v>
      </c>
      <c r="I3" s="2">
        <v>0</v>
      </c>
      <c r="J3" s="2">
        <f>SUS!M2</f>
        <v>75</v>
      </c>
      <c r="K3" s="2" t="s">
        <v>23</v>
      </c>
      <c r="L3" s="2" t="s">
        <v>24</v>
      </c>
      <c r="M3" s="2" t="s">
        <v>25</v>
      </c>
    </row>
    <row r="4" spans="1:13" ht="31.95" customHeight="1" x14ac:dyDescent="0.3">
      <c r="A4" s="2" t="s">
        <v>26</v>
      </c>
      <c r="B4" s="2" t="s">
        <v>26</v>
      </c>
      <c r="C4" s="2" t="s">
        <v>20</v>
      </c>
      <c r="D4" s="2" t="s">
        <v>21</v>
      </c>
      <c r="E4" s="2" t="s">
        <v>22</v>
      </c>
      <c r="F4" s="2">
        <v>75</v>
      </c>
      <c r="G4" s="2">
        <v>2</v>
      </c>
      <c r="H4" s="2">
        <v>1</v>
      </c>
      <c r="I4" s="2">
        <v>0</v>
      </c>
      <c r="J4" s="2">
        <f>SUS!M3</f>
        <v>82.5</v>
      </c>
      <c r="K4" s="2" t="s">
        <v>27</v>
      </c>
      <c r="L4" s="2" t="s">
        <v>28</v>
      </c>
      <c r="M4" s="2" t="s">
        <v>25</v>
      </c>
    </row>
    <row r="5" spans="1:13" ht="31.95" customHeight="1" x14ac:dyDescent="0.3">
      <c r="A5" s="2" t="s">
        <v>29</v>
      </c>
      <c r="B5" s="2" t="s">
        <v>29</v>
      </c>
      <c r="C5" s="2" t="s">
        <v>20</v>
      </c>
      <c r="D5" s="2" t="s">
        <v>21</v>
      </c>
      <c r="E5" s="2" t="s">
        <v>22</v>
      </c>
      <c r="F5" s="2">
        <v>65</v>
      </c>
      <c r="G5" s="2">
        <v>2</v>
      </c>
      <c r="H5" s="2">
        <v>2</v>
      </c>
      <c r="I5" s="2">
        <v>0</v>
      </c>
      <c r="J5" s="2">
        <f>SUS!M4</f>
        <v>67.5</v>
      </c>
      <c r="K5" s="2" t="s">
        <v>30</v>
      </c>
      <c r="L5" s="2" t="s">
        <v>31</v>
      </c>
      <c r="M5" s="2" t="s">
        <v>25</v>
      </c>
    </row>
    <row r="6" spans="1:13" ht="31.95" customHeight="1" x14ac:dyDescent="0.3">
      <c r="A6" s="2" t="s">
        <v>32</v>
      </c>
      <c r="B6" s="2" t="s">
        <v>32</v>
      </c>
      <c r="C6" s="2" t="s">
        <v>20</v>
      </c>
      <c r="D6" s="2" t="s">
        <v>21</v>
      </c>
      <c r="E6" s="2" t="s">
        <v>22</v>
      </c>
      <c r="F6" s="2">
        <v>80</v>
      </c>
      <c r="G6" s="2">
        <v>2</v>
      </c>
      <c r="H6" s="2">
        <v>2</v>
      </c>
      <c r="I6" s="2">
        <v>0</v>
      </c>
      <c r="J6" s="2">
        <f>SUS!M5</f>
        <v>67.5</v>
      </c>
      <c r="K6" s="2" t="s">
        <v>33</v>
      </c>
      <c r="L6" s="2" t="s">
        <v>34</v>
      </c>
      <c r="M6" s="2" t="s">
        <v>25</v>
      </c>
    </row>
    <row r="7" spans="1:13" ht="31.95" customHeight="1" x14ac:dyDescent="0.3">
      <c r="A7" s="2" t="s">
        <v>35</v>
      </c>
      <c r="B7" s="2" t="s">
        <v>35</v>
      </c>
      <c r="C7" s="2" t="s">
        <v>20</v>
      </c>
      <c r="D7" s="2" t="s">
        <v>21</v>
      </c>
      <c r="E7" s="2" t="s">
        <v>22</v>
      </c>
      <c r="F7" s="2">
        <v>90</v>
      </c>
      <c r="G7" s="2">
        <v>2</v>
      </c>
      <c r="H7" s="2">
        <v>2</v>
      </c>
      <c r="I7" s="2">
        <v>0</v>
      </c>
      <c r="J7" s="2">
        <f>SUS!M6</f>
        <v>77.5</v>
      </c>
      <c r="K7" s="2" t="s">
        <v>36</v>
      </c>
      <c r="L7" s="2" t="s">
        <v>37</v>
      </c>
      <c r="M7" s="2" t="s">
        <v>25</v>
      </c>
    </row>
    <row r="8" spans="1:13" ht="31.95" customHeight="1" x14ac:dyDescent="0.3">
      <c r="A8" s="2" t="s">
        <v>38</v>
      </c>
      <c r="B8" s="2" t="s">
        <v>38</v>
      </c>
      <c r="C8" s="2" t="s">
        <v>20</v>
      </c>
      <c r="D8" s="2" t="s">
        <v>21</v>
      </c>
      <c r="E8" s="2" t="s">
        <v>22</v>
      </c>
      <c r="F8" s="2">
        <v>78</v>
      </c>
      <c r="G8" s="2">
        <v>2</v>
      </c>
      <c r="H8" s="2">
        <v>1</v>
      </c>
      <c r="I8" s="2">
        <v>0</v>
      </c>
      <c r="J8" s="2">
        <f>SUS!M7</f>
        <v>75</v>
      </c>
      <c r="K8" s="2" t="s">
        <v>39</v>
      </c>
      <c r="L8" s="2" t="s">
        <v>40</v>
      </c>
      <c r="M8" s="2" t="s">
        <v>25</v>
      </c>
    </row>
    <row r="9" spans="1:13" ht="31.95" customHeight="1" x14ac:dyDescent="0.3">
      <c r="A9" s="2" t="s">
        <v>41</v>
      </c>
      <c r="B9" s="2" t="s">
        <v>41</v>
      </c>
      <c r="C9" s="2" t="s">
        <v>20</v>
      </c>
      <c r="D9" s="2" t="s">
        <v>21</v>
      </c>
      <c r="E9" s="2" t="s">
        <v>22</v>
      </c>
      <c r="F9" s="2">
        <v>62</v>
      </c>
      <c r="G9" s="2">
        <v>2</v>
      </c>
      <c r="H9" s="2">
        <v>4</v>
      </c>
      <c r="I9" s="2">
        <v>0</v>
      </c>
      <c r="J9" s="2">
        <f>SUS!M8</f>
        <v>70</v>
      </c>
      <c r="K9" s="2" t="s">
        <v>42</v>
      </c>
      <c r="L9" s="2" t="s">
        <v>43</v>
      </c>
      <c r="M9" s="2" t="s">
        <v>25</v>
      </c>
    </row>
  </sheetData>
  <autoFilter ref="A1:M9" xr:uid="{00000000-0009-0000-0000-000000000000}"/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65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23" customWidth="1"/>
    <col min="3" max="3" width="12" customWidth="1"/>
    <col min="4" max="4" width="17" customWidth="1"/>
    <col min="5" max="5" width="72" customWidth="1"/>
    <col min="6" max="6" width="10" customWidth="1"/>
    <col min="7" max="7" width="12" customWidth="1"/>
    <col min="8" max="8" width="13" customWidth="1"/>
    <col min="9" max="9" width="20" customWidth="1"/>
  </cols>
  <sheetData>
    <row r="1" spans="1:9" ht="34.049999999999997" customHeight="1" x14ac:dyDescent="0.3">
      <c r="A1" s="1" t="s">
        <v>0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12</v>
      </c>
    </row>
    <row r="2" spans="1:9" ht="42" customHeight="1" x14ac:dyDescent="0.3">
      <c r="A2" s="2" t="s">
        <v>13</v>
      </c>
      <c r="B2" s="2" t="s">
        <v>51</v>
      </c>
      <c r="C2" s="2" t="s">
        <v>52</v>
      </c>
      <c r="D2" s="2" t="s">
        <v>22</v>
      </c>
      <c r="E2" s="2" t="s">
        <v>53</v>
      </c>
      <c r="F2" s="2">
        <v>0</v>
      </c>
      <c r="G2" s="2">
        <v>0</v>
      </c>
      <c r="H2" s="2">
        <v>0</v>
      </c>
      <c r="I2" s="2" t="s">
        <v>54</v>
      </c>
    </row>
    <row r="3" spans="1:9" ht="42" customHeight="1" x14ac:dyDescent="0.3">
      <c r="A3" s="2" t="s">
        <v>13</v>
      </c>
      <c r="B3" s="2" t="s">
        <v>55</v>
      </c>
      <c r="C3" s="2" t="s">
        <v>56</v>
      </c>
      <c r="D3" s="2" t="s">
        <v>22</v>
      </c>
      <c r="E3" s="2" t="s">
        <v>57</v>
      </c>
      <c r="F3" s="2">
        <v>0</v>
      </c>
      <c r="G3" s="2">
        <v>0</v>
      </c>
      <c r="H3" s="2">
        <v>0</v>
      </c>
      <c r="I3" s="2" t="s">
        <v>54</v>
      </c>
    </row>
    <row r="4" spans="1:9" ht="42" customHeight="1" x14ac:dyDescent="0.3">
      <c r="A4" s="2" t="s">
        <v>13</v>
      </c>
      <c r="B4" s="2" t="s">
        <v>58</v>
      </c>
      <c r="C4" s="2" t="s">
        <v>59</v>
      </c>
      <c r="D4" s="2" t="s">
        <v>60</v>
      </c>
      <c r="E4" s="2" t="s">
        <v>61</v>
      </c>
      <c r="F4" s="2">
        <v>1</v>
      </c>
      <c r="G4" s="2">
        <v>1</v>
      </c>
      <c r="H4" s="2">
        <v>0</v>
      </c>
      <c r="I4" s="2" t="s">
        <v>54</v>
      </c>
    </row>
    <row r="5" spans="1:9" ht="42" customHeight="1" x14ac:dyDescent="0.3">
      <c r="A5" s="2" t="s">
        <v>13</v>
      </c>
      <c r="B5" s="2" t="s">
        <v>62</v>
      </c>
      <c r="C5" s="2" t="s">
        <v>63</v>
      </c>
      <c r="D5" s="2" t="s">
        <v>22</v>
      </c>
      <c r="E5" s="2" t="s">
        <v>64</v>
      </c>
      <c r="F5" s="2">
        <v>0</v>
      </c>
      <c r="G5" s="2">
        <v>0</v>
      </c>
      <c r="H5" s="2">
        <v>0</v>
      </c>
      <c r="I5" s="2" t="s">
        <v>54</v>
      </c>
    </row>
    <row r="6" spans="1:9" ht="42" customHeight="1" x14ac:dyDescent="0.3">
      <c r="A6" s="2" t="s">
        <v>13</v>
      </c>
      <c r="B6" s="2" t="s">
        <v>65</v>
      </c>
      <c r="C6" s="2" t="s">
        <v>66</v>
      </c>
      <c r="D6" s="2" t="s">
        <v>22</v>
      </c>
      <c r="E6" s="2" t="s">
        <v>67</v>
      </c>
      <c r="F6" s="2">
        <v>0</v>
      </c>
      <c r="G6" s="2">
        <v>0</v>
      </c>
      <c r="H6" s="2">
        <v>0</v>
      </c>
      <c r="I6" s="2" t="s">
        <v>54</v>
      </c>
    </row>
    <row r="7" spans="1:9" ht="42" customHeight="1" x14ac:dyDescent="0.3">
      <c r="A7" s="2" t="s">
        <v>13</v>
      </c>
      <c r="B7" s="2" t="s">
        <v>68</v>
      </c>
      <c r="C7" s="2" t="s">
        <v>69</v>
      </c>
      <c r="D7" s="2" t="s">
        <v>22</v>
      </c>
      <c r="E7" s="2" t="s">
        <v>70</v>
      </c>
      <c r="F7" s="2">
        <v>0</v>
      </c>
      <c r="G7" s="2">
        <v>0</v>
      </c>
      <c r="H7" s="2">
        <v>0</v>
      </c>
      <c r="I7" s="2" t="s">
        <v>54</v>
      </c>
    </row>
    <row r="8" spans="1:9" ht="42" customHeight="1" x14ac:dyDescent="0.3">
      <c r="A8" s="2" t="s">
        <v>13</v>
      </c>
      <c r="B8" s="2" t="s">
        <v>71</v>
      </c>
      <c r="C8" s="2" t="s">
        <v>72</v>
      </c>
      <c r="D8" s="2" t="s">
        <v>22</v>
      </c>
      <c r="E8" s="2" t="s">
        <v>73</v>
      </c>
      <c r="F8" s="2">
        <v>0</v>
      </c>
      <c r="G8" s="2">
        <v>0</v>
      </c>
      <c r="H8" s="2">
        <v>0</v>
      </c>
      <c r="I8" s="2" t="s">
        <v>54</v>
      </c>
    </row>
    <row r="9" spans="1:9" ht="42" customHeight="1" x14ac:dyDescent="0.3">
      <c r="A9" s="2" t="s">
        <v>13</v>
      </c>
      <c r="B9" s="2" t="s">
        <v>74</v>
      </c>
      <c r="C9" s="2" t="s">
        <v>75</v>
      </c>
      <c r="D9" s="2" t="s">
        <v>22</v>
      </c>
      <c r="E9" s="2" t="s">
        <v>76</v>
      </c>
      <c r="F9" s="2">
        <v>0</v>
      </c>
      <c r="G9" s="2">
        <v>0</v>
      </c>
      <c r="H9" s="2">
        <v>0</v>
      </c>
      <c r="I9" s="2" t="s">
        <v>54</v>
      </c>
    </row>
    <row r="10" spans="1:9" ht="42" customHeight="1" x14ac:dyDescent="0.3">
      <c r="A10" s="2" t="s">
        <v>19</v>
      </c>
      <c r="B10" s="2" t="s">
        <v>51</v>
      </c>
      <c r="C10" s="2" t="s">
        <v>77</v>
      </c>
      <c r="D10" s="2" t="s">
        <v>22</v>
      </c>
      <c r="E10" s="2" t="s">
        <v>78</v>
      </c>
      <c r="F10" s="2">
        <v>0</v>
      </c>
      <c r="G10" s="2">
        <v>0</v>
      </c>
      <c r="H10" s="2">
        <v>0</v>
      </c>
      <c r="I10" s="2" t="s">
        <v>54</v>
      </c>
    </row>
    <row r="11" spans="1:9" ht="42" customHeight="1" x14ac:dyDescent="0.3">
      <c r="A11" s="2" t="s">
        <v>19</v>
      </c>
      <c r="B11" s="2" t="s">
        <v>55</v>
      </c>
      <c r="C11" s="2" t="s">
        <v>79</v>
      </c>
      <c r="D11" s="2" t="s">
        <v>22</v>
      </c>
      <c r="E11" s="2" t="s">
        <v>80</v>
      </c>
      <c r="F11" s="2">
        <v>0</v>
      </c>
      <c r="G11" s="2">
        <v>0</v>
      </c>
      <c r="H11" s="2">
        <v>0</v>
      </c>
      <c r="I11" s="2" t="s">
        <v>54</v>
      </c>
    </row>
    <row r="12" spans="1:9" ht="42" customHeight="1" x14ac:dyDescent="0.3">
      <c r="A12" s="2" t="s">
        <v>19</v>
      </c>
      <c r="B12" s="2" t="s">
        <v>58</v>
      </c>
      <c r="C12" s="2" t="s">
        <v>81</v>
      </c>
      <c r="D12" s="2" t="s">
        <v>60</v>
      </c>
      <c r="E12" s="2" t="s">
        <v>82</v>
      </c>
      <c r="F12" s="2">
        <v>1</v>
      </c>
      <c r="G12" s="2">
        <v>1</v>
      </c>
      <c r="H12" s="2">
        <v>0</v>
      </c>
      <c r="I12" s="2" t="s">
        <v>54</v>
      </c>
    </row>
    <row r="13" spans="1:9" ht="42" customHeight="1" x14ac:dyDescent="0.3">
      <c r="A13" s="2" t="s">
        <v>19</v>
      </c>
      <c r="B13" s="2" t="s">
        <v>62</v>
      </c>
      <c r="C13" s="2" t="s">
        <v>83</v>
      </c>
      <c r="D13" s="2" t="s">
        <v>22</v>
      </c>
      <c r="E13" s="2" t="s">
        <v>84</v>
      </c>
      <c r="F13" s="2">
        <v>0</v>
      </c>
      <c r="G13" s="2">
        <v>0</v>
      </c>
      <c r="H13" s="2">
        <v>0</v>
      </c>
      <c r="I13" s="2" t="s">
        <v>54</v>
      </c>
    </row>
    <row r="14" spans="1:9" ht="42" customHeight="1" x14ac:dyDescent="0.3">
      <c r="A14" s="2" t="s">
        <v>19</v>
      </c>
      <c r="B14" s="2" t="s">
        <v>65</v>
      </c>
      <c r="C14" s="2" t="s">
        <v>85</v>
      </c>
      <c r="D14" s="2" t="s">
        <v>86</v>
      </c>
      <c r="E14" s="2" t="s">
        <v>87</v>
      </c>
      <c r="F14" s="2">
        <v>0</v>
      </c>
      <c r="G14" s="2">
        <v>1</v>
      </c>
      <c r="H14" s="2">
        <v>0</v>
      </c>
      <c r="I14" s="2" t="s">
        <v>54</v>
      </c>
    </row>
    <row r="15" spans="1:9" ht="42" customHeight="1" x14ac:dyDescent="0.3">
      <c r="A15" s="2" t="s">
        <v>19</v>
      </c>
      <c r="B15" s="2" t="s">
        <v>68</v>
      </c>
      <c r="C15" s="2" t="s">
        <v>88</v>
      </c>
      <c r="D15" s="2" t="s">
        <v>22</v>
      </c>
      <c r="E15" s="2" t="s">
        <v>89</v>
      </c>
      <c r="F15" s="2">
        <v>0</v>
      </c>
      <c r="G15" s="2">
        <v>0</v>
      </c>
      <c r="H15" s="2">
        <v>0</v>
      </c>
      <c r="I15" s="2" t="s">
        <v>54</v>
      </c>
    </row>
    <row r="16" spans="1:9" ht="42" customHeight="1" x14ac:dyDescent="0.3">
      <c r="A16" s="2" t="s">
        <v>19</v>
      </c>
      <c r="B16" s="2" t="s">
        <v>71</v>
      </c>
      <c r="C16" s="2" t="s">
        <v>90</v>
      </c>
      <c r="D16" s="2" t="s">
        <v>22</v>
      </c>
      <c r="E16" s="2" t="s">
        <v>91</v>
      </c>
      <c r="F16" s="2">
        <v>1</v>
      </c>
      <c r="G16" s="2">
        <v>0</v>
      </c>
      <c r="H16" s="2">
        <v>0</v>
      </c>
      <c r="I16" s="2" t="s">
        <v>54</v>
      </c>
    </row>
    <row r="17" spans="1:9" ht="42" customHeight="1" x14ac:dyDescent="0.3">
      <c r="A17" s="2" t="s">
        <v>19</v>
      </c>
      <c r="B17" s="2" t="s">
        <v>74</v>
      </c>
      <c r="C17" s="2" t="s">
        <v>75</v>
      </c>
      <c r="D17" s="2" t="s">
        <v>22</v>
      </c>
      <c r="E17" s="2" t="s">
        <v>92</v>
      </c>
      <c r="F17" s="2">
        <v>0</v>
      </c>
      <c r="G17" s="2">
        <v>0</v>
      </c>
      <c r="H17" s="2">
        <v>0</v>
      </c>
      <c r="I17" s="2" t="s">
        <v>54</v>
      </c>
    </row>
    <row r="18" spans="1:9" ht="42" customHeight="1" x14ac:dyDescent="0.3">
      <c r="A18" s="2" t="s">
        <v>26</v>
      </c>
      <c r="B18" s="2" t="s">
        <v>51</v>
      </c>
      <c r="C18" s="2" t="s">
        <v>52</v>
      </c>
      <c r="D18" s="2" t="s">
        <v>22</v>
      </c>
      <c r="E18" s="2" t="s">
        <v>93</v>
      </c>
      <c r="F18" s="2">
        <v>0</v>
      </c>
      <c r="G18" s="2">
        <v>0</v>
      </c>
      <c r="H18" s="2">
        <v>0</v>
      </c>
      <c r="I18" s="2" t="s">
        <v>54</v>
      </c>
    </row>
    <row r="19" spans="1:9" ht="42" customHeight="1" x14ac:dyDescent="0.3">
      <c r="A19" s="2" t="s">
        <v>26</v>
      </c>
      <c r="B19" s="2" t="s">
        <v>55</v>
      </c>
      <c r="C19" s="2" t="s">
        <v>56</v>
      </c>
      <c r="D19" s="2" t="s">
        <v>22</v>
      </c>
      <c r="E19" s="2" t="s">
        <v>94</v>
      </c>
      <c r="F19" s="2">
        <v>0</v>
      </c>
      <c r="G19" s="2">
        <v>0</v>
      </c>
      <c r="H19" s="2">
        <v>0</v>
      </c>
      <c r="I19" s="2" t="s">
        <v>54</v>
      </c>
    </row>
    <row r="20" spans="1:9" ht="42" customHeight="1" x14ac:dyDescent="0.3">
      <c r="A20" s="2" t="s">
        <v>26</v>
      </c>
      <c r="B20" s="2" t="s">
        <v>58</v>
      </c>
      <c r="C20" s="2" t="s">
        <v>95</v>
      </c>
      <c r="D20" s="2" t="s">
        <v>60</v>
      </c>
      <c r="E20" s="2" t="s">
        <v>96</v>
      </c>
      <c r="F20" s="2">
        <v>1</v>
      </c>
      <c r="G20" s="2">
        <v>0</v>
      </c>
      <c r="H20" s="2">
        <v>0</v>
      </c>
      <c r="I20" s="2" t="s">
        <v>54</v>
      </c>
    </row>
    <row r="21" spans="1:9" ht="42" customHeight="1" x14ac:dyDescent="0.3">
      <c r="A21" s="2" t="s">
        <v>26</v>
      </c>
      <c r="B21" s="2" t="s">
        <v>62</v>
      </c>
      <c r="C21" s="2" t="s">
        <v>97</v>
      </c>
      <c r="D21" s="2" t="s">
        <v>22</v>
      </c>
      <c r="E21" s="2" t="s">
        <v>98</v>
      </c>
      <c r="F21" s="2">
        <v>0</v>
      </c>
      <c r="G21" s="2">
        <v>0</v>
      </c>
      <c r="H21" s="2">
        <v>0</v>
      </c>
      <c r="I21" s="2" t="s">
        <v>54</v>
      </c>
    </row>
    <row r="22" spans="1:9" ht="42" customHeight="1" x14ac:dyDescent="0.3">
      <c r="A22" s="2" t="s">
        <v>26</v>
      </c>
      <c r="B22" s="2" t="s">
        <v>65</v>
      </c>
      <c r="C22" s="2" t="s">
        <v>83</v>
      </c>
      <c r="D22" s="2" t="s">
        <v>22</v>
      </c>
      <c r="E22" s="2" t="s">
        <v>99</v>
      </c>
      <c r="F22" s="2">
        <v>0</v>
      </c>
      <c r="G22" s="2">
        <v>0</v>
      </c>
      <c r="H22" s="2">
        <v>0</v>
      </c>
      <c r="I22" s="2" t="s">
        <v>54</v>
      </c>
    </row>
    <row r="23" spans="1:9" ht="42" customHeight="1" x14ac:dyDescent="0.3">
      <c r="A23" s="2" t="s">
        <v>26</v>
      </c>
      <c r="B23" s="2" t="s">
        <v>68</v>
      </c>
      <c r="C23" s="2" t="s">
        <v>100</v>
      </c>
      <c r="D23" s="2" t="s">
        <v>22</v>
      </c>
      <c r="E23" s="2" t="s">
        <v>101</v>
      </c>
      <c r="F23" s="2">
        <v>0</v>
      </c>
      <c r="G23" s="2">
        <v>0</v>
      </c>
      <c r="H23" s="2">
        <v>0</v>
      </c>
      <c r="I23" s="2" t="s">
        <v>54</v>
      </c>
    </row>
    <row r="24" spans="1:9" ht="42" customHeight="1" x14ac:dyDescent="0.3">
      <c r="A24" s="2" t="s">
        <v>26</v>
      </c>
      <c r="B24" s="2" t="s">
        <v>71</v>
      </c>
      <c r="C24" s="2" t="s">
        <v>69</v>
      </c>
      <c r="D24" s="2" t="s">
        <v>86</v>
      </c>
      <c r="E24" s="2" t="s">
        <v>102</v>
      </c>
      <c r="F24" s="2">
        <v>1</v>
      </c>
      <c r="G24" s="2">
        <v>1</v>
      </c>
      <c r="H24" s="2">
        <v>0</v>
      </c>
      <c r="I24" s="2" t="s">
        <v>54</v>
      </c>
    </row>
    <row r="25" spans="1:9" ht="42" customHeight="1" x14ac:dyDescent="0.3">
      <c r="A25" s="2" t="s">
        <v>26</v>
      </c>
      <c r="B25" s="2" t="s">
        <v>74</v>
      </c>
      <c r="C25" s="2" t="s">
        <v>72</v>
      </c>
      <c r="D25" s="2" t="s">
        <v>22</v>
      </c>
      <c r="E25" s="2" t="s">
        <v>103</v>
      </c>
      <c r="F25" s="2">
        <v>0</v>
      </c>
      <c r="G25" s="2">
        <v>0</v>
      </c>
      <c r="H25" s="2">
        <v>0</v>
      </c>
      <c r="I25" s="2" t="s">
        <v>54</v>
      </c>
    </row>
    <row r="26" spans="1:9" ht="42" customHeight="1" x14ac:dyDescent="0.3">
      <c r="A26" s="2" t="s">
        <v>29</v>
      </c>
      <c r="B26" s="2" t="s">
        <v>51</v>
      </c>
      <c r="C26" s="2" t="s">
        <v>77</v>
      </c>
      <c r="D26" s="2" t="s">
        <v>22</v>
      </c>
      <c r="E26" s="2" t="s">
        <v>104</v>
      </c>
      <c r="F26" s="2">
        <v>0</v>
      </c>
      <c r="G26" s="2">
        <v>0</v>
      </c>
      <c r="H26" s="2">
        <v>0</v>
      </c>
      <c r="I26" s="2" t="s">
        <v>54</v>
      </c>
    </row>
    <row r="27" spans="1:9" ht="42" customHeight="1" x14ac:dyDescent="0.3">
      <c r="A27" s="2" t="s">
        <v>29</v>
      </c>
      <c r="B27" s="2" t="s">
        <v>55</v>
      </c>
      <c r="C27" s="2" t="s">
        <v>79</v>
      </c>
      <c r="D27" s="2" t="s">
        <v>22</v>
      </c>
      <c r="E27" s="2" t="s">
        <v>105</v>
      </c>
      <c r="F27" s="2">
        <v>0</v>
      </c>
      <c r="G27" s="2">
        <v>0</v>
      </c>
      <c r="H27" s="2">
        <v>0</v>
      </c>
      <c r="I27" s="2" t="s">
        <v>54</v>
      </c>
    </row>
    <row r="28" spans="1:9" ht="42" customHeight="1" x14ac:dyDescent="0.3">
      <c r="A28" s="2" t="s">
        <v>29</v>
      </c>
      <c r="B28" s="2" t="s">
        <v>58</v>
      </c>
      <c r="C28" s="2" t="s">
        <v>106</v>
      </c>
      <c r="D28" s="2" t="s">
        <v>60</v>
      </c>
      <c r="E28" s="2" t="s">
        <v>107</v>
      </c>
      <c r="F28" s="2">
        <v>1</v>
      </c>
      <c r="G28" s="2">
        <v>1</v>
      </c>
      <c r="H28" s="2">
        <v>0</v>
      </c>
      <c r="I28" s="2" t="s">
        <v>54</v>
      </c>
    </row>
    <row r="29" spans="1:9" ht="42" customHeight="1" x14ac:dyDescent="0.3">
      <c r="A29" s="2" t="s">
        <v>29</v>
      </c>
      <c r="B29" s="2" t="s">
        <v>62</v>
      </c>
      <c r="C29" s="2" t="s">
        <v>108</v>
      </c>
      <c r="D29" s="2" t="s">
        <v>22</v>
      </c>
      <c r="E29" s="2" t="s">
        <v>109</v>
      </c>
      <c r="F29" s="2">
        <v>0</v>
      </c>
      <c r="G29" s="2">
        <v>0</v>
      </c>
      <c r="H29" s="2">
        <v>0</v>
      </c>
      <c r="I29" s="2" t="s">
        <v>54</v>
      </c>
    </row>
    <row r="30" spans="1:9" ht="42" customHeight="1" x14ac:dyDescent="0.3">
      <c r="A30" s="2" t="s">
        <v>29</v>
      </c>
      <c r="B30" s="2" t="s">
        <v>65</v>
      </c>
      <c r="C30" s="2" t="s">
        <v>110</v>
      </c>
      <c r="D30" s="2" t="s">
        <v>86</v>
      </c>
      <c r="E30" s="2" t="s">
        <v>111</v>
      </c>
      <c r="F30" s="2">
        <v>0</v>
      </c>
      <c r="G30" s="2">
        <v>1</v>
      </c>
      <c r="H30" s="2">
        <v>0</v>
      </c>
      <c r="I30" s="2" t="s">
        <v>54</v>
      </c>
    </row>
    <row r="31" spans="1:9" ht="42" customHeight="1" x14ac:dyDescent="0.3">
      <c r="A31" s="2" t="s">
        <v>29</v>
      </c>
      <c r="B31" s="2" t="s">
        <v>68</v>
      </c>
      <c r="C31" s="2" t="s">
        <v>112</v>
      </c>
      <c r="D31" s="2" t="s">
        <v>22</v>
      </c>
      <c r="E31" s="2" t="s">
        <v>113</v>
      </c>
      <c r="F31" s="2">
        <v>0</v>
      </c>
      <c r="G31" s="2">
        <v>0</v>
      </c>
      <c r="H31" s="2">
        <v>0</v>
      </c>
      <c r="I31" s="2" t="s">
        <v>54</v>
      </c>
    </row>
    <row r="32" spans="1:9" ht="42" customHeight="1" x14ac:dyDescent="0.3">
      <c r="A32" s="2" t="s">
        <v>29</v>
      </c>
      <c r="B32" s="2" t="s">
        <v>71</v>
      </c>
      <c r="C32" s="2" t="s">
        <v>114</v>
      </c>
      <c r="D32" s="2" t="s">
        <v>22</v>
      </c>
      <c r="E32" s="2" t="s">
        <v>115</v>
      </c>
      <c r="F32" s="2">
        <v>1</v>
      </c>
      <c r="G32" s="2">
        <v>0</v>
      </c>
      <c r="H32" s="2">
        <v>0</v>
      </c>
      <c r="I32" s="2" t="s">
        <v>54</v>
      </c>
    </row>
    <row r="33" spans="1:9" ht="42" customHeight="1" x14ac:dyDescent="0.3">
      <c r="A33" s="2" t="s">
        <v>29</v>
      </c>
      <c r="B33" s="2" t="s">
        <v>74</v>
      </c>
      <c r="C33" s="2" t="s">
        <v>116</v>
      </c>
      <c r="D33" s="2" t="s">
        <v>22</v>
      </c>
      <c r="E33" s="2" t="s">
        <v>117</v>
      </c>
      <c r="F33" s="2">
        <v>0</v>
      </c>
      <c r="G33" s="2">
        <v>0</v>
      </c>
      <c r="H33" s="2">
        <v>0</v>
      </c>
      <c r="I33" s="2" t="s">
        <v>54</v>
      </c>
    </row>
    <row r="34" spans="1:9" ht="42" customHeight="1" x14ac:dyDescent="0.3">
      <c r="A34" s="2" t="s">
        <v>32</v>
      </c>
      <c r="B34" s="2" t="s">
        <v>51</v>
      </c>
      <c r="C34" s="2" t="s">
        <v>118</v>
      </c>
      <c r="D34" s="2" t="s">
        <v>22</v>
      </c>
      <c r="E34" s="2" t="s">
        <v>119</v>
      </c>
      <c r="F34" s="2">
        <v>0</v>
      </c>
      <c r="G34" s="2">
        <v>0</v>
      </c>
      <c r="H34" s="2">
        <v>0</v>
      </c>
      <c r="I34" s="2" t="s">
        <v>54</v>
      </c>
    </row>
    <row r="35" spans="1:9" ht="42" customHeight="1" x14ac:dyDescent="0.3">
      <c r="A35" s="2" t="s">
        <v>32</v>
      </c>
      <c r="B35" s="2" t="s">
        <v>55</v>
      </c>
      <c r="C35" s="2" t="s">
        <v>59</v>
      </c>
      <c r="D35" s="2" t="s">
        <v>22</v>
      </c>
      <c r="E35" s="2" t="s">
        <v>120</v>
      </c>
      <c r="F35" s="2">
        <v>0</v>
      </c>
      <c r="G35" s="2">
        <v>0</v>
      </c>
      <c r="H35" s="2">
        <v>0</v>
      </c>
      <c r="I35" s="2" t="s">
        <v>54</v>
      </c>
    </row>
    <row r="36" spans="1:9" ht="42" customHeight="1" x14ac:dyDescent="0.3">
      <c r="A36" s="2" t="s">
        <v>32</v>
      </c>
      <c r="B36" s="2" t="s">
        <v>58</v>
      </c>
      <c r="C36" s="2" t="s">
        <v>63</v>
      </c>
      <c r="D36" s="2" t="s">
        <v>60</v>
      </c>
      <c r="E36" s="2" t="s">
        <v>121</v>
      </c>
      <c r="F36" s="2">
        <v>1</v>
      </c>
      <c r="G36" s="2">
        <v>1</v>
      </c>
      <c r="H36" s="2">
        <v>0</v>
      </c>
      <c r="I36" s="2" t="s">
        <v>54</v>
      </c>
    </row>
    <row r="37" spans="1:9" ht="42" customHeight="1" x14ac:dyDescent="0.3">
      <c r="A37" s="2" t="s">
        <v>32</v>
      </c>
      <c r="B37" s="2" t="s">
        <v>62</v>
      </c>
      <c r="C37" s="2" t="s">
        <v>66</v>
      </c>
      <c r="D37" s="2" t="s">
        <v>22</v>
      </c>
      <c r="E37" s="2" t="s">
        <v>122</v>
      </c>
      <c r="F37" s="2">
        <v>0</v>
      </c>
      <c r="G37" s="2">
        <v>0</v>
      </c>
      <c r="H37" s="2">
        <v>0</v>
      </c>
      <c r="I37" s="2" t="s">
        <v>54</v>
      </c>
    </row>
    <row r="38" spans="1:9" ht="42" customHeight="1" x14ac:dyDescent="0.3">
      <c r="A38" s="2" t="s">
        <v>32</v>
      </c>
      <c r="B38" s="2" t="s">
        <v>65</v>
      </c>
      <c r="C38" s="2" t="s">
        <v>123</v>
      </c>
      <c r="D38" s="2" t="s">
        <v>22</v>
      </c>
      <c r="E38" s="2" t="s">
        <v>124</v>
      </c>
      <c r="F38" s="2">
        <v>0</v>
      </c>
      <c r="G38" s="2">
        <v>0</v>
      </c>
      <c r="H38" s="2">
        <v>0</v>
      </c>
      <c r="I38" s="2" t="s">
        <v>54</v>
      </c>
    </row>
    <row r="39" spans="1:9" ht="42" customHeight="1" x14ac:dyDescent="0.3">
      <c r="A39" s="2" t="s">
        <v>32</v>
      </c>
      <c r="B39" s="2" t="s">
        <v>68</v>
      </c>
      <c r="C39" s="2" t="s">
        <v>125</v>
      </c>
      <c r="D39" s="2" t="s">
        <v>22</v>
      </c>
      <c r="E39" s="2" t="s">
        <v>126</v>
      </c>
      <c r="F39" s="2">
        <v>0</v>
      </c>
      <c r="G39" s="2">
        <v>0</v>
      </c>
      <c r="H39" s="2">
        <v>0</v>
      </c>
      <c r="I39" s="2" t="s">
        <v>54</v>
      </c>
    </row>
    <row r="40" spans="1:9" ht="42" customHeight="1" x14ac:dyDescent="0.3">
      <c r="A40" s="2" t="s">
        <v>32</v>
      </c>
      <c r="B40" s="2" t="s">
        <v>71</v>
      </c>
      <c r="C40" s="2" t="s">
        <v>116</v>
      </c>
      <c r="D40" s="2" t="s">
        <v>86</v>
      </c>
      <c r="E40" s="2" t="s">
        <v>127</v>
      </c>
      <c r="F40" s="2">
        <v>1</v>
      </c>
      <c r="G40" s="2">
        <v>1</v>
      </c>
      <c r="H40" s="2">
        <v>0</v>
      </c>
      <c r="I40" s="2" t="s">
        <v>54</v>
      </c>
    </row>
    <row r="41" spans="1:9" ht="42" customHeight="1" x14ac:dyDescent="0.3">
      <c r="A41" s="2" t="s">
        <v>32</v>
      </c>
      <c r="B41" s="2" t="s">
        <v>74</v>
      </c>
      <c r="C41" s="2" t="s">
        <v>128</v>
      </c>
      <c r="D41" s="2" t="s">
        <v>22</v>
      </c>
      <c r="E41" s="2" t="s">
        <v>129</v>
      </c>
      <c r="F41" s="2">
        <v>0</v>
      </c>
      <c r="G41" s="2">
        <v>0</v>
      </c>
      <c r="H41" s="2">
        <v>0</v>
      </c>
      <c r="I41" s="2" t="s">
        <v>54</v>
      </c>
    </row>
    <row r="42" spans="1:9" ht="42" customHeight="1" x14ac:dyDescent="0.3">
      <c r="A42" s="2" t="s">
        <v>35</v>
      </c>
      <c r="B42" s="2" t="s">
        <v>51</v>
      </c>
      <c r="C42" s="2" t="s">
        <v>77</v>
      </c>
      <c r="D42" s="2" t="s">
        <v>22</v>
      </c>
      <c r="E42" s="2" t="s">
        <v>130</v>
      </c>
      <c r="F42" s="2">
        <v>0</v>
      </c>
      <c r="G42" s="2">
        <v>0</v>
      </c>
      <c r="H42" s="2">
        <v>0</v>
      </c>
      <c r="I42" s="2" t="s">
        <v>54</v>
      </c>
    </row>
    <row r="43" spans="1:9" ht="42" customHeight="1" x14ac:dyDescent="0.3">
      <c r="A43" s="2" t="s">
        <v>35</v>
      </c>
      <c r="B43" s="2" t="s">
        <v>55</v>
      </c>
      <c r="C43" s="2" t="s">
        <v>79</v>
      </c>
      <c r="D43" s="2" t="s">
        <v>22</v>
      </c>
      <c r="E43" s="2" t="s">
        <v>131</v>
      </c>
      <c r="F43" s="2">
        <v>0</v>
      </c>
      <c r="G43" s="2">
        <v>0</v>
      </c>
      <c r="H43" s="2">
        <v>0</v>
      </c>
      <c r="I43" s="2" t="s">
        <v>54</v>
      </c>
    </row>
    <row r="44" spans="1:9" ht="42" customHeight="1" x14ac:dyDescent="0.3">
      <c r="A44" s="2" t="s">
        <v>35</v>
      </c>
      <c r="B44" s="2" t="s">
        <v>58</v>
      </c>
      <c r="C44" s="2" t="s">
        <v>81</v>
      </c>
      <c r="D44" s="2" t="s">
        <v>60</v>
      </c>
      <c r="E44" s="2" t="s">
        <v>132</v>
      </c>
      <c r="F44" s="2">
        <v>1</v>
      </c>
      <c r="G44" s="2">
        <v>1</v>
      </c>
      <c r="H44" s="2">
        <v>0</v>
      </c>
      <c r="I44" s="2" t="s">
        <v>54</v>
      </c>
    </row>
    <row r="45" spans="1:9" ht="42" customHeight="1" x14ac:dyDescent="0.3">
      <c r="A45" s="2" t="s">
        <v>35</v>
      </c>
      <c r="B45" s="2" t="s">
        <v>62</v>
      </c>
      <c r="C45" s="2" t="s">
        <v>133</v>
      </c>
      <c r="D45" s="2" t="s">
        <v>22</v>
      </c>
      <c r="E45" s="2" t="s">
        <v>134</v>
      </c>
      <c r="F45" s="2">
        <v>0</v>
      </c>
      <c r="G45" s="2">
        <v>0</v>
      </c>
      <c r="H45" s="2">
        <v>0</v>
      </c>
      <c r="I45" s="2" t="s">
        <v>54</v>
      </c>
    </row>
    <row r="46" spans="1:9" ht="42" customHeight="1" x14ac:dyDescent="0.3">
      <c r="A46" s="2" t="s">
        <v>35</v>
      </c>
      <c r="B46" s="2" t="s">
        <v>65</v>
      </c>
      <c r="C46" s="2" t="s">
        <v>135</v>
      </c>
      <c r="D46" s="2" t="s">
        <v>86</v>
      </c>
      <c r="E46" s="2" t="s">
        <v>136</v>
      </c>
      <c r="F46" s="2">
        <v>0</v>
      </c>
      <c r="G46" s="2">
        <v>1</v>
      </c>
      <c r="H46" s="2">
        <v>0</v>
      </c>
      <c r="I46" s="2" t="s">
        <v>54</v>
      </c>
    </row>
    <row r="47" spans="1:9" ht="42" customHeight="1" x14ac:dyDescent="0.3">
      <c r="A47" s="2" t="s">
        <v>35</v>
      </c>
      <c r="B47" s="2" t="s">
        <v>68</v>
      </c>
      <c r="C47" s="2" t="s">
        <v>88</v>
      </c>
      <c r="D47" s="2" t="s">
        <v>22</v>
      </c>
      <c r="E47" s="2" t="s">
        <v>137</v>
      </c>
      <c r="F47" s="2">
        <v>0</v>
      </c>
      <c r="G47" s="2">
        <v>0</v>
      </c>
      <c r="H47" s="2">
        <v>0</v>
      </c>
      <c r="I47" s="2" t="s">
        <v>54</v>
      </c>
    </row>
    <row r="48" spans="1:9" ht="42" customHeight="1" x14ac:dyDescent="0.3">
      <c r="A48" s="2" t="s">
        <v>35</v>
      </c>
      <c r="B48" s="2" t="s">
        <v>71</v>
      </c>
      <c r="C48" s="2" t="s">
        <v>138</v>
      </c>
      <c r="D48" s="2" t="s">
        <v>22</v>
      </c>
      <c r="E48" s="2" t="s">
        <v>139</v>
      </c>
      <c r="F48" s="2">
        <v>1</v>
      </c>
      <c r="G48" s="2">
        <v>0</v>
      </c>
      <c r="H48" s="2">
        <v>0</v>
      </c>
      <c r="I48" s="2" t="s">
        <v>54</v>
      </c>
    </row>
    <row r="49" spans="1:9" ht="42" customHeight="1" x14ac:dyDescent="0.3">
      <c r="A49" s="2" t="s">
        <v>35</v>
      </c>
      <c r="B49" s="2" t="s">
        <v>74</v>
      </c>
      <c r="C49" s="2" t="s">
        <v>140</v>
      </c>
      <c r="D49" s="2" t="s">
        <v>22</v>
      </c>
      <c r="E49" s="2" t="s">
        <v>141</v>
      </c>
      <c r="F49" s="2">
        <v>0</v>
      </c>
      <c r="G49" s="2">
        <v>0</v>
      </c>
      <c r="H49" s="2">
        <v>0</v>
      </c>
      <c r="I49" s="2" t="s">
        <v>54</v>
      </c>
    </row>
    <row r="50" spans="1:9" ht="42" customHeight="1" x14ac:dyDescent="0.3">
      <c r="A50" s="2" t="s">
        <v>38</v>
      </c>
      <c r="B50" s="2" t="s">
        <v>51</v>
      </c>
      <c r="C50" s="2" t="s">
        <v>52</v>
      </c>
      <c r="D50" s="2" t="s">
        <v>22</v>
      </c>
      <c r="E50" s="2" t="s">
        <v>142</v>
      </c>
      <c r="F50" s="2">
        <v>0</v>
      </c>
      <c r="G50" s="2">
        <v>0</v>
      </c>
      <c r="H50" s="2">
        <v>0</v>
      </c>
      <c r="I50" s="2" t="s">
        <v>54</v>
      </c>
    </row>
    <row r="51" spans="1:9" ht="42" customHeight="1" x14ac:dyDescent="0.3">
      <c r="A51" s="2" t="s">
        <v>38</v>
      </c>
      <c r="B51" s="2" t="s">
        <v>55</v>
      </c>
      <c r="C51" s="2" t="s">
        <v>118</v>
      </c>
      <c r="D51" s="2" t="s">
        <v>22</v>
      </c>
      <c r="E51" s="2" t="s">
        <v>143</v>
      </c>
      <c r="F51" s="2">
        <v>0</v>
      </c>
      <c r="G51" s="2">
        <v>0</v>
      </c>
      <c r="H51" s="2">
        <v>0</v>
      </c>
      <c r="I51" s="2" t="s">
        <v>54</v>
      </c>
    </row>
    <row r="52" spans="1:9" ht="42" customHeight="1" x14ac:dyDescent="0.3">
      <c r="A52" s="2" t="s">
        <v>38</v>
      </c>
      <c r="B52" s="2" t="s">
        <v>58</v>
      </c>
      <c r="C52" s="2" t="s">
        <v>144</v>
      </c>
      <c r="D52" s="2" t="s">
        <v>60</v>
      </c>
      <c r="E52" s="2" t="s">
        <v>145</v>
      </c>
      <c r="F52" s="2">
        <v>1</v>
      </c>
      <c r="G52" s="2">
        <v>0</v>
      </c>
      <c r="H52" s="2">
        <v>0</v>
      </c>
      <c r="I52" s="2" t="s">
        <v>54</v>
      </c>
    </row>
    <row r="53" spans="1:9" ht="42" customHeight="1" x14ac:dyDescent="0.3">
      <c r="A53" s="2" t="s">
        <v>38</v>
      </c>
      <c r="B53" s="2" t="s">
        <v>62</v>
      </c>
      <c r="C53" s="2" t="s">
        <v>146</v>
      </c>
      <c r="D53" s="2" t="s">
        <v>22</v>
      </c>
      <c r="E53" s="2" t="s">
        <v>147</v>
      </c>
      <c r="F53" s="2">
        <v>0</v>
      </c>
      <c r="G53" s="2">
        <v>0</v>
      </c>
      <c r="H53" s="2">
        <v>0</v>
      </c>
      <c r="I53" s="2" t="s">
        <v>54</v>
      </c>
    </row>
    <row r="54" spans="1:9" ht="42" customHeight="1" x14ac:dyDescent="0.3">
      <c r="A54" s="2" t="s">
        <v>38</v>
      </c>
      <c r="B54" s="2" t="s">
        <v>65</v>
      </c>
      <c r="C54" s="2" t="s">
        <v>148</v>
      </c>
      <c r="D54" s="2" t="s">
        <v>86</v>
      </c>
      <c r="E54" s="2" t="s">
        <v>149</v>
      </c>
      <c r="F54" s="2">
        <v>0</v>
      </c>
      <c r="G54" s="2">
        <v>1</v>
      </c>
      <c r="H54" s="2">
        <v>0</v>
      </c>
      <c r="I54" s="2" t="s">
        <v>54</v>
      </c>
    </row>
    <row r="55" spans="1:9" ht="42" customHeight="1" x14ac:dyDescent="0.3">
      <c r="A55" s="2" t="s">
        <v>38</v>
      </c>
      <c r="B55" s="2" t="s">
        <v>68</v>
      </c>
      <c r="C55" s="2" t="s">
        <v>66</v>
      </c>
      <c r="D55" s="2" t="s">
        <v>22</v>
      </c>
      <c r="E55" s="2" t="s">
        <v>150</v>
      </c>
      <c r="F55" s="2">
        <v>0</v>
      </c>
      <c r="G55" s="2">
        <v>0</v>
      </c>
      <c r="H55" s="2">
        <v>0</v>
      </c>
      <c r="I55" s="2" t="s">
        <v>54</v>
      </c>
    </row>
    <row r="56" spans="1:9" ht="42" customHeight="1" x14ac:dyDescent="0.3">
      <c r="A56" s="2" t="s">
        <v>38</v>
      </c>
      <c r="B56" s="2" t="s">
        <v>71</v>
      </c>
      <c r="C56" s="2" t="s">
        <v>151</v>
      </c>
      <c r="D56" s="2" t="s">
        <v>22</v>
      </c>
      <c r="E56" s="2" t="s">
        <v>152</v>
      </c>
      <c r="F56" s="2">
        <v>1</v>
      </c>
      <c r="G56" s="2">
        <v>0</v>
      </c>
      <c r="H56" s="2">
        <v>0</v>
      </c>
      <c r="I56" s="2" t="s">
        <v>54</v>
      </c>
    </row>
    <row r="57" spans="1:9" ht="42" customHeight="1" x14ac:dyDescent="0.3">
      <c r="A57" s="2" t="s">
        <v>38</v>
      </c>
      <c r="B57" s="2" t="s">
        <v>74</v>
      </c>
      <c r="C57" s="2" t="s">
        <v>112</v>
      </c>
      <c r="D57" s="2" t="s">
        <v>22</v>
      </c>
      <c r="E57" s="2" t="s">
        <v>153</v>
      </c>
      <c r="F57" s="2">
        <v>0</v>
      </c>
      <c r="G57" s="2">
        <v>0</v>
      </c>
      <c r="H57" s="2">
        <v>0</v>
      </c>
      <c r="I57" s="2" t="s">
        <v>54</v>
      </c>
    </row>
    <row r="58" spans="1:9" ht="42" customHeight="1" x14ac:dyDescent="0.3">
      <c r="A58" s="2" t="s">
        <v>41</v>
      </c>
      <c r="B58" s="2" t="s">
        <v>51</v>
      </c>
      <c r="C58" s="2" t="s">
        <v>118</v>
      </c>
      <c r="D58" s="2" t="s">
        <v>86</v>
      </c>
      <c r="E58" s="2" t="s">
        <v>154</v>
      </c>
      <c r="F58" s="2">
        <v>0</v>
      </c>
      <c r="G58" s="2">
        <v>1</v>
      </c>
      <c r="H58" s="2">
        <v>0</v>
      </c>
      <c r="I58" s="2" t="s">
        <v>54</v>
      </c>
    </row>
    <row r="59" spans="1:9" ht="42" customHeight="1" x14ac:dyDescent="0.3">
      <c r="A59" s="2" t="s">
        <v>41</v>
      </c>
      <c r="B59" s="2" t="s">
        <v>55</v>
      </c>
      <c r="C59" s="2" t="s">
        <v>59</v>
      </c>
      <c r="D59" s="2" t="s">
        <v>22</v>
      </c>
      <c r="E59" s="2" t="s">
        <v>155</v>
      </c>
      <c r="F59" s="2">
        <v>0</v>
      </c>
      <c r="G59" s="2">
        <v>0</v>
      </c>
      <c r="H59" s="2">
        <v>0</v>
      </c>
      <c r="I59" s="2" t="s">
        <v>54</v>
      </c>
    </row>
    <row r="60" spans="1:9" ht="42" customHeight="1" x14ac:dyDescent="0.3">
      <c r="A60" s="2" t="s">
        <v>41</v>
      </c>
      <c r="B60" s="2" t="s">
        <v>58</v>
      </c>
      <c r="C60" s="2" t="s">
        <v>63</v>
      </c>
      <c r="D60" s="2" t="s">
        <v>60</v>
      </c>
      <c r="E60" s="2" t="s">
        <v>156</v>
      </c>
      <c r="F60" s="2">
        <v>1</v>
      </c>
      <c r="G60" s="2">
        <v>1</v>
      </c>
      <c r="H60" s="2">
        <v>0</v>
      </c>
      <c r="I60" s="2" t="s">
        <v>54</v>
      </c>
    </row>
    <row r="61" spans="1:9" ht="42" customHeight="1" x14ac:dyDescent="0.3">
      <c r="A61" s="2" t="s">
        <v>41</v>
      </c>
      <c r="B61" s="2" t="s">
        <v>62</v>
      </c>
      <c r="C61" s="2" t="s">
        <v>66</v>
      </c>
      <c r="D61" s="2" t="s">
        <v>22</v>
      </c>
      <c r="E61" s="2" t="s">
        <v>157</v>
      </c>
      <c r="F61" s="2">
        <v>0</v>
      </c>
      <c r="G61" s="2">
        <v>0</v>
      </c>
      <c r="H61" s="2">
        <v>0</v>
      </c>
      <c r="I61" s="2" t="s">
        <v>54</v>
      </c>
    </row>
    <row r="62" spans="1:9" ht="42" customHeight="1" x14ac:dyDescent="0.3">
      <c r="A62" s="2" t="s">
        <v>41</v>
      </c>
      <c r="B62" s="2" t="s">
        <v>65</v>
      </c>
      <c r="C62" s="2" t="s">
        <v>123</v>
      </c>
      <c r="D62" s="2" t="s">
        <v>86</v>
      </c>
      <c r="E62" s="2" t="s">
        <v>158</v>
      </c>
      <c r="F62" s="2">
        <v>0</v>
      </c>
      <c r="G62" s="2">
        <v>1</v>
      </c>
      <c r="H62" s="2">
        <v>0</v>
      </c>
      <c r="I62" s="2" t="s">
        <v>54</v>
      </c>
    </row>
    <row r="63" spans="1:9" ht="42" customHeight="1" x14ac:dyDescent="0.3">
      <c r="A63" s="2" t="s">
        <v>41</v>
      </c>
      <c r="B63" s="2" t="s">
        <v>68</v>
      </c>
      <c r="C63" s="2" t="s">
        <v>125</v>
      </c>
      <c r="D63" s="2" t="s">
        <v>22</v>
      </c>
      <c r="E63" s="2" t="s">
        <v>159</v>
      </c>
      <c r="F63" s="2">
        <v>0</v>
      </c>
      <c r="G63" s="2">
        <v>0</v>
      </c>
      <c r="H63" s="2">
        <v>0</v>
      </c>
      <c r="I63" s="2" t="s">
        <v>54</v>
      </c>
    </row>
    <row r="64" spans="1:9" ht="42" customHeight="1" x14ac:dyDescent="0.3">
      <c r="A64" s="2" t="s">
        <v>41</v>
      </c>
      <c r="B64" s="2" t="s">
        <v>71</v>
      </c>
      <c r="C64" s="2" t="s">
        <v>116</v>
      </c>
      <c r="D64" s="2" t="s">
        <v>86</v>
      </c>
      <c r="E64" s="2" t="s">
        <v>160</v>
      </c>
      <c r="F64" s="2">
        <v>1</v>
      </c>
      <c r="G64" s="2">
        <v>1</v>
      </c>
      <c r="H64" s="2">
        <v>0</v>
      </c>
      <c r="I64" s="2" t="s">
        <v>54</v>
      </c>
    </row>
    <row r="65" spans="1:9" ht="42" customHeight="1" x14ac:dyDescent="0.3">
      <c r="A65" s="2" t="s">
        <v>41</v>
      </c>
      <c r="B65" s="2" t="s">
        <v>74</v>
      </c>
      <c r="C65" s="2" t="s">
        <v>161</v>
      </c>
      <c r="D65" s="2" t="s">
        <v>22</v>
      </c>
      <c r="E65" s="2" t="s">
        <v>162</v>
      </c>
      <c r="F65" s="2">
        <v>0</v>
      </c>
      <c r="G65" s="2">
        <v>0</v>
      </c>
      <c r="H65" s="2">
        <v>0</v>
      </c>
      <c r="I65" s="2" t="s">
        <v>54</v>
      </c>
    </row>
  </sheetData>
  <autoFilter ref="A1:I65" xr:uid="{00000000-0009-0000-0000-000001000000}"/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4" customWidth="1"/>
    <col min="2" max="11" width="7" customWidth="1"/>
    <col min="12" max="12" width="15" customWidth="1"/>
    <col min="13" max="13" width="13" customWidth="1"/>
    <col min="14" max="15" width="44" customWidth="1"/>
    <col min="16" max="16" width="38" customWidth="1"/>
    <col min="17" max="17" width="44" customWidth="1"/>
    <col min="18" max="18" width="34" customWidth="1"/>
  </cols>
  <sheetData>
    <row r="1" spans="1:18" ht="34.049999999999997" customHeight="1" x14ac:dyDescent="0.3">
      <c r="A1" s="1" t="s">
        <v>1</v>
      </c>
      <c r="B1" s="1" t="s">
        <v>163</v>
      </c>
      <c r="C1" s="1" t="s">
        <v>164</v>
      </c>
      <c r="D1" s="1" t="s">
        <v>165</v>
      </c>
      <c r="E1" s="1" t="s">
        <v>166</v>
      </c>
      <c r="F1" s="1" t="s">
        <v>167</v>
      </c>
      <c r="G1" s="1" t="s">
        <v>168</v>
      </c>
      <c r="H1" s="1" t="s">
        <v>169</v>
      </c>
      <c r="I1" s="1" t="s">
        <v>170</v>
      </c>
      <c r="J1" s="1" t="s">
        <v>171</v>
      </c>
      <c r="K1" s="1" t="s">
        <v>172</v>
      </c>
      <c r="L1" s="1" t="s">
        <v>173</v>
      </c>
      <c r="M1" s="1" t="s">
        <v>9</v>
      </c>
      <c r="N1" s="1" t="s">
        <v>174</v>
      </c>
      <c r="O1" s="1" t="s">
        <v>175</v>
      </c>
      <c r="P1" s="1" t="s">
        <v>176</v>
      </c>
      <c r="Q1" s="1" t="s">
        <v>177</v>
      </c>
      <c r="R1" s="1" t="s">
        <v>178</v>
      </c>
    </row>
    <row r="2" spans="1:18" ht="31.95" customHeight="1" x14ac:dyDescent="0.3">
      <c r="A2" s="2" t="s">
        <v>19</v>
      </c>
      <c r="B2" s="2">
        <v>4</v>
      </c>
      <c r="C2" s="2">
        <v>2</v>
      </c>
      <c r="D2" s="2">
        <v>4</v>
      </c>
      <c r="E2" s="2">
        <v>2</v>
      </c>
      <c r="F2" s="2">
        <v>4</v>
      </c>
      <c r="G2" s="2">
        <v>2</v>
      </c>
      <c r="H2" s="2">
        <v>4</v>
      </c>
      <c r="I2" s="2">
        <v>2</v>
      </c>
      <c r="J2" s="2">
        <v>4</v>
      </c>
      <c r="K2" s="2">
        <v>2</v>
      </c>
      <c r="L2" s="2">
        <f t="shared" ref="L2:L8" si="0">IF(COUNTA(B2:K2)=0,"",IF(COUNTA(B2:K2)&lt;10,"INCOMPLETE",SUM(B2-1,5-C2,D2-1,5-E2,F2-1,5-G2,H2-1,5-I2,J2-1,5-K2)))</f>
        <v>30</v>
      </c>
      <c r="M2" s="2">
        <f t="shared" ref="M2:M8" si="1">IF(ISNUMBER(L2),L2*2.5,"")</f>
        <v>75</v>
      </c>
      <c r="N2" s="2" t="s">
        <v>179</v>
      </c>
      <c r="O2" s="2" t="s">
        <v>180</v>
      </c>
      <c r="P2" s="2" t="s">
        <v>181</v>
      </c>
      <c r="Q2" s="2" t="s">
        <v>182</v>
      </c>
      <c r="R2" s="2" t="str">
        <f t="shared" ref="R2:R8" si="2">IF(COUNTA(B2:K2)=10,"Complete","Incomplete")</f>
        <v>Complete</v>
      </c>
    </row>
    <row r="3" spans="1:18" ht="31.95" customHeight="1" x14ac:dyDescent="0.3">
      <c r="A3" s="2" t="s">
        <v>26</v>
      </c>
      <c r="B3" s="2">
        <v>4</v>
      </c>
      <c r="C3" s="2">
        <v>1</v>
      </c>
      <c r="D3" s="2">
        <v>4</v>
      </c>
      <c r="E3" s="2">
        <v>1</v>
      </c>
      <c r="F3" s="2">
        <v>4</v>
      </c>
      <c r="G3" s="2">
        <v>2</v>
      </c>
      <c r="H3" s="2">
        <v>5</v>
      </c>
      <c r="I3" s="2">
        <v>2</v>
      </c>
      <c r="J3" s="2">
        <v>4</v>
      </c>
      <c r="K3" s="2">
        <v>2</v>
      </c>
      <c r="L3" s="2">
        <f t="shared" si="0"/>
        <v>33</v>
      </c>
      <c r="M3" s="2">
        <f t="shared" si="1"/>
        <v>82.5</v>
      </c>
      <c r="N3" s="2" t="s">
        <v>183</v>
      </c>
      <c r="O3" s="2" t="s">
        <v>184</v>
      </c>
      <c r="P3" s="2" t="s">
        <v>185</v>
      </c>
      <c r="Q3" s="2" t="s">
        <v>186</v>
      </c>
      <c r="R3" s="2" t="str">
        <f t="shared" si="2"/>
        <v>Complete</v>
      </c>
    </row>
    <row r="4" spans="1:18" ht="31.95" customHeight="1" x14ac:dyDescent="0.3">
      <c r="A4" s="2" t="s">
        <v>29</v>
      </c>
      <c r="B4" s="2">
        <v>3</v>
      </c>
      <c r="C4" s="2">
        <v>2</v>
      </c>
      <c r="D4" s="2">
        <v>4</v>
      </c>
      <c r="E4" s="2">
        <v>2</v>
      </c>
      <c r="F4" s="2">
        <v>3</v>
      </c>
      <c r="G4" s="2">
        <v>2</v>
      </c>
      <c r="H4" s="2">
        <v>4</v>
      </c>
      <c r="I4" s="2">
        <v>2</v>
      </c>
      <c r="J4" s="2">
        <v>3</v>
      </c>
      <c r="K4" s="2">
        <v>2</v>
      </c>
      <c r="L4" s="2">
        <f t="shared" si="0"/>
        <v>27</v>
      </c>
      <c r="M4" s="2">
        <f t="shared" si="1"/>
        <v>67.5</v>
      </c>
      <c r="N4" s="2" t="s">
        <v>187</v>
      </c>
      <c r="O4" s="2" t="s">
        <v>188</v>
      </c>
      <c r="P4" s="2" t="s">
        <v>189</v>
      </c>
      <c r="Q4" s="2" t="s">
        <v>190</v>
      </c>
      <c r="R4" s="2" t="str">
        <f t="shared" si="2"/>
        <v>Complete</v>
      </c>
    </row>
    <row r="5" spans="1:18" ht="31.95" customHeight="1" x14ac:dyDescent="0.3">
      <c r="A5" s="2" t="s">
        <v>32</v>
      </c>
      <c r="B5" s="2">
        <v>3</v>
      </c>
      <c r="C5" s="2">
        <v>2</v>
      </c>
      <c r="D5" s="2">
        <v>4</v>
      </c>
      <c r="E5" s="2">
        <v>2</v>
      </c>
      <c r="F5" s="2">
        <v>4</v>
      </c>
      <c r="G5" s="2">
        <v>3</v>
      </c>
      <c r="H5" s="2">
        <v>4</v>
      </c>
      <c r="I5" s="2">
        <v>2</v>
      </c>
      <c r="J5" s="2">
        <v>3</v>
      </c>
      <c r="K5" s="2">
        <v>2</v>
      </c>
      <c r="L5" s="2">
        <f t="shared" si="0"/>
        <v>27</v>
      </c>
      <c r="M5" s="2">
        <f t="shared" si="1"/>
        <v>67.5</v>
      </c>
      <c r="N5" s="2" t="s">
        <v>191</v>
      </c>
      <c r="O5" s="2" t="s">
        <v>192</v>
      </c>
      <c r="P5" s="2" t="s">
        <v>193</v>
      </c>
      <c r="Q5" s="2" t="s">
        <v>194</v>
      </c>
      <c r="R5" s="2" t="str">
        <f t="shared" si="2"/>
        <v>Complete</v>
      </c>
    </row>
    <row r="6" spans="1:18" ht="31.95" customHeight="1" x14ac:dyDescent="0.3">
      <c r="A6" s="2" t="s">
        <v>35</v>
      </c>
      <c r="B6" s="2">
        <v>4</v>
      </c>
      <c r="C6" s="2">
        <v>2</v>
      </c>
      <c r="D6" s="2">
        <v>4</v>
      </c>
      <c r="E6" s="2">
        <v>1</v>
      </c>
      <c r="F6" s="2">
        <v>4</v>
      </c>
      <c r="G6" s="2">
        <v>2</v>
      </c>
      <c r="H6" s="2">
        <v>4</v>
      </c>
      <c r="I6" s="2">
        <v>2</v>
      </c>
      <c r="J6" s="2">
        <v>4</v>
      </c>
      <c r="K6" s="2">
        <v>2</v>
      </c>
      <c r="L6" s="2">
        <f t="shared" si="0"/>
        <v>31</v>
      </c>
      <c r="M6" s="2">
        <f t="shared" si="1"/>
        <v>77.5</v>
      </c>
      <c r="N6" s="2" t="s">
        <v>195</v>
      </c>
      <c r="O6" s="2" t="s">
        <v>196</v>
      </c>
      <c r="P6" s="2" t="s">
        <v>197</v>
      </c>
      <c r="Q6" s="2" t="s">
        <v>198</v>
      </c>
      <c r="R6" s="2" t="str">
        <f t="shared" si="2"/>
        <v>Complete</v>
      </c>
    </row>
    <row r="7" spans="1:18" ht="31.95" customHeight="1" x14ac:dyDescent="0.3">
      <c r="A7" s="2" t="s">
        <v>38</v>
      </c>
      <c r="B7" s="2">
        <v>4</v>
      </c>
      <c r="C7" s="2">
        <v>2</v>
      </c>
      <c r="D7" s="2">
        <v>4</v>
      </c>
      <c r="E7" s="2">
        <v>2</v>
      </c>
      <c r="F7" s="2">
        <v>4</v>
      </c>
      <c r="G7" s="2">
        <v>2</v>
      </c>
      <c r="H7" s="2">
        <v>4</v>
      </c>
      <c r="I7" s="2">
        <v>2</v>
      </c>
      <c r="J7" s="2">
        <v>4</v>
      </c>
      <c r="K7" s="2">
        <v>2</v>
      </c>
      <c r="L7" s="2">
        <f t="shared" si="0"/>
        <v>30</v>
      </c>
      <c r="M7" s="2">
        <f t="shared" si="1"/>
        <v>75</v>
      </c>
      <c r="N7" s="2" t="s">
        <v>199</v>
      </c>
      <c r="O7" s="2" t="s">
        <v>200</v>
      </c>
      <c r="P7" s="2" t="s">
        <v>201</v>
      </c>
      <c r="Q7" s="2" t="s">
        <v>202</v>
      </c>
      <c r="R7" s="2" t="str">
        <f t="shared" si="2"/>
        <v>Complete</v>
      </c>
    </row>
    <row r="8" spans="1:18" ht="31.95" customHeight="1" x14ac:dyDescent="0.3">
      <c r="A8" s="2" t="s">
        <v>41</v>
      </c>
      <c r="B8" s="2">
        <v>4</v>
      </c>
      <c r="C8" s="2">
        <v>2</v>
      </c>
      <c r="D8" s="2">
        <v>4</v>
      </c>
      <c r="E8" s="2">
        <v>2</v>
      </c>
      <c r="F8" s="2">
        <v>3</v>
      </c>
      <c r="G8" s="2">
        <v>2</v>
      </c>
      <c r="H8" s="2">
        <v>4</v>
      </c>
      <c r="I8" s="2">
        <v>2</v>
      </c>
      <c r="J8" s="2">
        <v>3</v>
      </c>
      <c r="K8" s="2">
        <v>2</v>
      </c>
      <c r="L8" s="2">
        <f t="shared" si="0"/>
        <v>28</v>
      </c>
      <c r="M8" s="2">
        <f t="shared" si="1"/>
        <v>70</v>
      </c>
      <c r="N8" s="2" t="s">
        <v>203</v>
      </c>
      <c r="O8" s="2" t="s">
        <v>204</v>
      </c>
      <c r="P8" s="2" t="s">
        <v>205</v>
      </c>
      <c r="Q8" s="2" t="s">
        <v>206</v>
      </c>
      <c r="R8" s="2" t="str">
        <f t="shared" si="2"/>
        <v>Complete</v>
      </c>
    </row>
    <row r="9" spans="1:18" ht="31.95" customHeight="1" x14ac:dyDescent="0.3">
      <c r="A9" s="2" t="s">
        <v>207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>
        <f>AVERAGE(M2:M8)</f>
        <v>73.571428571428569</v>
      </c>
      <c r="N9" s="2"/>
      <c r="O9" s="2"/>
      <c r="P9" s="2"/>
      <c r="Q9" s="2"/>
      <c r="R9" s="2" t="s">
        <v>208</v>
      </c>
    </row>
  </sheetData>
  <autoFilter ref="A1:R9" xr:uid="{00000000-0009-0000-0000-000002000000}"/>
  <conditionalFormatting sqref="R2:R9">
    <cfRule type="expression" dxfId="0" priority="1">
      <formula>$R2="Complete"</formula>
    </cfRule>
  </conditionalFormatting>
  <dataValidations count="1">
    <dataValidation type="whole" showErrorMessage="1" errorTitle="Invalid SUS response" error="Enter a whole-number SUS response from 1 to 5." sqref="B2:K8" xr:uid="{00000000-0002-0000-0200-000000000000}">
      <formula1>1</formula1>
      <formula2>5</formula2>
    </dataValidation>
  </dataValidations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9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18" customWidth="1"/>
    <col min="3" max="3" width="58" customWidth="1"/>
    <col min="4" max="5" width="18" customWidth="1"/>
    <col min="6" max="6" width="68" customWidth="1"/>
    <col min="7" max="7" width="14" customWidth="1"/>
    <col min="8" max="8" width="16" customWidth="1"/>
    <col min="9" max="9" width="22" customWidth="1"/>
    <col min="10" max="10" width="52" customWidth="1"/>
  </cols>
  <sheetData>
    <row r="1" spans="1:10" ht="34.049999999999997" customHeight="1" x14ac:dyDescent="0.3">
      <c r="A1" s="1" t="s">
        <v>0</v>
      </c>
      <c r="B1" s="1" t="s">
        <v>209</v>
      </c>
      <c r="C1" s="1" t="s">
        <v>210</v>
      </c>
      <c r="D1" s="1" t="s">
        <v>5</v>
      </c>
      <c r="E1" s="1" t="s">
        <v>211</v>
      </c>
      <c r="F1" s="1" t="s">
        <v>212</v>
      </c>
      <c r="G1" s="1" t="s">
        <v>213</v>
      </c>
      <c r="H1" s="1" t="s">
        <v>214</v>
      </c>
      <c r="I1" s="1" t="s">
        <v>215</v>
      </c>
      <c r="J1" s="1" t="s">
        <v>178</v>
      </c>
    </row>
    <row r="2" spans="1:10" ht="31.95" customHeight="1" x14ac:dyDescent="0.3">
      <c r="A2" s="2" t="s">
        <v>13</v>
      </c>
      <c r="B2" s="2" t="s">
        <v>216</v>
      </c>
      <c r="C2" s="3" t="s">
        <v>217</v>
      </c>
      <c r="D2" s="2">
        <v>73.599999999999994</v>
      </c>
      <c r="E2" s="2">
        <v>1205683</v>
      </c>
      <c r="F2" s="2" t="s">
        <v>218</v>
      </c>
      <c r="G2" s="2" t="s">
        <v>219</v>
      </c>
      <c r="H2" s="2" t="s">
        <v>21</v>
      </c>
      <c r="I2" s="2" t="s">
        <v>220</v>
      </c>
      <c r="J2" s="2" t="s">
        <v>221</v>
      </c>
    </row>
    <row r="3" spans="1:10" ht="31.95" customHeight="1" x14ac:dyDescent="0.3">
      <c r="A3" s="2" t="s">
        <v>19</v>
      </c>
      <c r="B3" s="2" t="s">
        <v>222</v>
      </c>
      <c r="C3" s="3" t="s">
        <v>217</v>
      </c>
      <c r="D3" s="2">
        <v>96.466999999999999</v>
      </c>
      <c r="E3" s="2">
        <v>1051696</v>
      </c>
      <c r="F3" s="2" t="s">
        <v>223</v>
      </c>
      <c r="G3" s="2" t="s">
        <v>219</v>
      </c>
      <c r="H3" s="2" t="s">
        <v>21</v>
      </c>
      <c r="I3" s="2" t="s">
        <v>220</v>
      </c>
      <c r="J3" s="2" t="s">
        <v>221</v>
      </c>
    </row>
    <row r="4" spans="1:10" ht="31.95" customHeight="1" x14ac:dyDescent="0.3">
      <c r="A4" s="2" t="s">
        <v>26</v>
      </c>
      <c r="B4" s="2" t="s">
        <v>224</v>
      </c>
      <c r="C4" s="3" t="s">
        <v>217</v>
      </c>
      <c r="D4" s="2">
        <v>72.099999999999994</v>
      </c>
      <c r="E4" s="2">
        <v>968087</v>
      </c>
      <c r="F4" s="2" t="s">
        <v>225</v>
      </c>
      <c r="G4" s="2" t="s">
        <v>219</v>
      </c>
      <c r="H4" s="2" t="s">
        <v>21</v>
      </c>
      <c r="I4" s="2" t="s">
        <v>220</v>
      </c>
      <c r="J4" s="2" t="s">
        <v>221</v>
      </c>
    </row>
    <row r="5" spans="1:10" ht="31.95" customHeight="1" x14ac:dyDescent="0.3">
      <c r="A5" s="2" t="s">
        <v>29</v>
      </c>
      <c r="B5" s="2" t="s">
        <v>226</v>
      </c>
      <c r="C5" s="3" t="s">
        <v>217</v>
      </c>
      <c r="D5" s="2">
        <v>67.766999999999996</v>
      </c>
      <c r="E5" s="2">
        <v>891790</v>
      </c>
      <c r="F5" s="2" t="s">
        <v>227</v>
      </c>
      <c r="G5" s="2" t="s">
        <v>219</v>
      </c>
      <c r="H5" s="2" t="s">
        <v>21</v>
      </c>
      <c r="I5" s="2" t="s">
        <v>220</v>
      </c>
      <c r="J5" s="2" t="s">
        <v>221</v>
      </c>
    </row>
    <row r="6" spans="1:10" ht="31.95" customHeight="1" x14ac:dyDescent="0.3">
      <c r="A6" s="2" t="s">
        <v>32</v>
      </c>
      <c r="B6" s="2" t="s">
        <v>228</v>
      </c>
      <c r="C6" s="3" t="s">
        <v>217</v>
      </c>
      <c r="D6" s="2">
        <v>63.466999999999999</v>
      </c>
      <c r="E6" s="2">
        <v>1452706</v>
      </c>
      <c r="F6" s="2" t="s">
        <v>229</v>
      </c>
      <c r="G6" s="2" t="s">
        <v>219</v>
      </c>
      <c r="H6" s="2" t="s">
        <v>21</v>
      </c>
      <c r="I6" s="2" t="s">
        <v>220</v>
      </c>
      <c r="J6" s="2" t="s">
        <v>221</v>
      </c>
    </row>
    <row r="7" spans="1:10" ht="31.95" customHeight="1" x14ac:dyDescent="0.3">
      <c r="A7" s="2" t="s">
        <v>35</v>
      </c>
      <c r="B7" s="2" t="s">
        <v>230</v>
      </c>
      <c r="C7" s="3" t="s">
        <v>217</v>
      </c>
      <c r="D7" s="2">
        <v>108.43300000000001</v>
      </c>
      <c r="E7" s="2">
        <v>1506431</v>
      </c>
      <c r="F7" s="2" t="s">
        <v>231</v>
      </c>
      <c r="G7" s="2" t="s">
        <v>219</v>
      </c>
      <c r="H7" s="2" t="s">
        <v>21</v>
      </c>
      <c r="I7" s="2" t="s">
        <v>220</v>
      </c>
      <c r="J7" s="2" t="s">
        <v>221</v>
      </c>
    </row>
    <row r="8" spans="1:10" ht="31.95" customHeight="1" x14ac:dyDescent="0.3">
      <c r="A8" s="2" t="s">
        <v>38</v>
      </c>
      <c r="B8" s="2" t="s">
        <v>232</v>
      </c>
      <c r="C8" s="3" t="s">
        <v>217</v>
      </c>
      <c r="D8" s="2">
        <v>63.633000000000003</v>
      </c>
      <c r="E8" s="2">
        <v>715887</v>
      </c>
      <c r="F8" s="2" t="s">
        <v>233</v>
      </c>
      <c r="G8" s="2" t="s">
        <v>219</v>
      </c>
      <c r="H8" s="2" t="s">
        <v>21</v>
      </c>
      <c r="I8" s="2" t="s">
        <v>220</v>
      </c>
      <c r="J8" s="2" t="s">
        <v>221</v>
      </c>
    </row>
    <row r="9" spans="1:10" ht="31.95" customHeight="1" x14ac:dyDescent="0.3">
      <c r="A9" s="2" t="s">
        <v>41</v>
      </c>
      <c r="B9" s="2" t="s">
        <v>234</v>
      </c>
      <c r="C9" s="3" t="s">
        <v>217</v>
      </c>
      <c r="D9" s="2">
        <v>82.2</v>
      </c>
      <c r="E9" s="2">
        <v>1014487</v>
      </c>
      <c r="F9" s="2" t="s">
        <v>235</v>
      </c>
      <c r="G9" s="2" t="s">
        <v>219</v>
      </c>
      <c r="H9" s="2" t="s">
        <v>21</v>
      </c>
      <c r="I9" s="2" t="s">
        <v>220</v>
      </c>
      <c r="J9" s="2" t="s">
        <v>221</v>
      </c>
    </row>
  </sheetData>
  <autoFilter ref="A1:J9" xr:uid="{00000000-0009-0000-0000-000003000000}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</hyperlink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Sessions</vt:lpstr>
      <vt:lpstr>Observations</vt:lpstr>
      <vt:lpstr>SUS</vt:lpstr>
      <vt:lpstr>Recordings</vt:lpstr>
      <vt:lpstr>Observations!Print_Area</vt:lpstr>
      <vt:lpstr>Recordings!Print_Area</vt:lpstr>
      <vt:lpstr>Sessions!Print_Area</vt:lpstr>
      <vt:lpstr>SUS!Print_Area</vt:lpstr>
      <vt:lpstr>Observations!Print_Titles</vt:lpstr>
      <vt:lpstr>Recordings!Print_Titles</vt:lpstr>
      <vt:lpstr>Sessions!Print_Titles</vt:lpstr>
      <vt:lpstr>SUS!Print_Titles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LÊ TUẤN LỘC</cp:lastModifiedBy>
  <dcterms:created xsi:type="dcterms:W3CDTF">2026-08-03T04:41:24Z</dcterms:created>
  <dcterms:modified xsi:type="dcterms:W3CDTF">2026-08-03T04:41:25Z</dcterms:modified>
</cp:coreProperties>
</file>