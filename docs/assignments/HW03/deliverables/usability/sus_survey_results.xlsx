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 Results" sheetId="1" state="visible" r:id="rId1"/>
  </sheets>
  <definedNames>
    <definedName name="_xlnm._FilterDatabase" localSheetId="0" hidden="1">'SUS Results'!$A$1:$R$9</definedName>
    <definedName name="_xlnm.Print_Titles" localSheetId="0">'SUS Results'!$1:$1</definedName>
    <definedName name="_xlnm.Print_Area" localSheetId="0">'SUS Results'!$A$1:$R$9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  <col width="11" customWidth="1" min="16" max="16"/>
    <col width="11" customWidth="1" min="17" max="17"/>
    <col width="16" customWidth="1" min="18" max="18"/>
  </cols>
  <sheetData>
    <row r="1">
      <c r="A1" s="1" t="inlineStr">
        <is>
          <t>participant_id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adjusted_sum</t>
        </is>
      </c>
      <c r="M1" s="1" t="inlineStr">
        <is>
          <t>sus_score</t>
        </is>
      </c>
      <c r="N1" s="1" t="inlineStr">
        <is>
          <t>clarity</t>
        </is>
      </c>
      <c r="O1" s="1" t="inlineStr">
        <is>
          <t>error_recovery</t>
        </is>
      </c>
      <c r="P1" s="1" t="inlineStr">
        <is>
          <t>speed</t>
        </is>
      </c>
      <c r="Q1" s="1" t="inlineStr">
        <is>
          <t>trust</t>
        </is>
      </c>
      <c r="R1" s="1" t="inlineStr">
        <is>
          <t>status</t>
        </is>
      </c>
    </row>
    <row r="2">
      <c r="A2" s="2" t="inlineStr">
        <is>
          <t>P1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>
        <f>IF(COUNTA(B2:K2)=0,"",IF(COUNTA(B2:K2)&lt;10,"INCOMPLETE",SUM(B2-1,5-C2,D2-1,5-E2,F2-1,5-G2,H2-1,5-I2,J2-1,5-K2)))</f>
        <v/>
      </c>
      <c r="M2" s="2">
        <f>IF(ISNUMBER(L2),L2*2.5,"")</f>
        <v/>
      </c>
      <c r="N2" s="2" t="inlineStr"/>
      <c r="O2" s="2" t="inlineStr"/>
      <c r="P2" s="2" t="inlineStr"/>
      <c r="Q2" s="2" t="inlineStr"/>
      <c r="R2" s="2">
        <f>IF(COUNTA(B2:K2)=0,"Not collected",IF(COUNTA(B2:K2)&lt;10,"Incomplete","Calculated"))</f>
        <v/>
      </c>
    </row>
    <row r="3">
      <c r="A3" s="2" t="inlineStr">
        <is>
          <t>P2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>
        <f>IF(COUNTA(B3:K3)=0,"",IF(COUNTA(B3:K3)&lt;10,"INCOMPLETE",SUM(B3-1,5-C3,D3-1,5-E3,F3-1,5-G3,H3-1,5-I3,J3-1,5-K3)))</f>
        <v/>
      </c>
      <c r="M3" s="2">
        <f>IF(ISNUMBER(L3),L3*2.5,"")</f>
        <v/>
      </c>
      <c r="N3" s="2" t="inlineStr"/>
      <c r="O3" s="2" t="inlineStr"/>
      <c r="P3" s="2" t="inlineStr"/>
      <c r="Q3" s="2" t="inlineStr"/>
      <c r="R3" s="2">
        <f>IF(COUNTA(B3:K3)=0,"Not collected",IF(COUNTA(B3:K3)&lt;10,"Incomplete","Calculated"))</f>
        <v/>
      </c>
    </row>
    <row r="4">
      <c r="A4" s="2" t="inlineStr">
        <is>
          <t>P3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>
        <f>IF(COUNTA(B4:K4)=0,"",IF(COUNTA(B4:K4)&lt;10,"INCOMPLETE",SUM(B4-1,5-C4,D4-1,5-E4,F4-1,5-G4,H4-1,5-I4,J4-1,5-K4)))</f>
        <v/>
      </c>
      <c r="M4" s="2">
        <f>IF(ISNUMBER(L4),L4*2.5,"")</f>
        <v/>
      </c>
      <c r="N4" s="2" t="inlineStr"/>
      <c r="O4" s="2" t="inlineStr"/>
      <c r="P4" s="2" t="inlineStr"/>
      <c r="Q4" s="2" t="inlineStr"/>
      <c r="R4" s="2">
        <f>IF(COUNTA(B4:K4)=0,"Not collected",IF(COUNTA(B4:K4)&lt;10,"Incomplete","Calculated"))</f>
        <v/>
      </c>
    </row>
    <row r="5">
      <c r="A5" s="2" t="inlineStr">
        <is>
          <t>P4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>
        <f>IF(COUNTA(B5:K5)=0,"",IF(COUNTA(B5:K5)&lt;10,"INCOMPLETE",SUM(B5-1,5-C5,D5-1,5-E5,F5-1,5-G5,H5-1,5-I5,J5-1,5-K5)))</f>
        <v/>
      </c>
      <c r="M5" s="2">
        <f>IF(ISNUMBER(L5),L5*2.5,"")</f>
        <v/>
      </c>
      <c r="N5" s="2" t="inlineStr"/>
      <c r="O5" s="2" t="inlineStr"/>
      <c r="P5" s="2" t="inlineStr"/>
      <c r="Q5" s="2" t="inlineStr"/>
      <c r="R5" s="2">
        <f>IF(COUNTA(B5:K5)=0,"Not collected",IF(COUNTA(B5:K5)&lt;10,"Incomplete","Calculated"))</f>
        <v/>
      </c>
    </row>
    <row r="6">
      <c r="A6" s="2" t="inlineStr">
        <is>
          <t>P5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>
        <f>IF(COUNTA(B6:K6)=0,"",IF(COUNTA(B6:K6)&lt;10,"INCOMPLETE",SUM(B6-1,5-C6,D6-1,5-E6,F6-1,5-G6,H6-1,5-I6,J6-1,5-K6)))</f>
        <v/>
      </c>
      <c r="M6" s="2">
        <f>IF(ISNUMBER(L6),L6*2.5,"")</f>
        <v/>
      </c>
      <c r="N6" s="2" t="inlineStr"/>
      <c r="O6" s="2" t="inlineStr"/>
      <c r="P6" s="2" t="inlineStr"/>
      <c r="Q6" s="2" t="inlineStr"/>
      <c r="R6" s="2">
        <f>IF(COUNTA(B6:K6)=0,"Not collected",IF(COUNTA(B6:K6)&lt;10,"Incomplete","Calculated"))</f>
        <v/>
      </c>
    </row>
    <row r="7">
      <c r="A7" s="2" t="inlineStr">
        <is>
          <t>P6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>
        <f>IF(COUNTA(B7:K7)=0,"",IF(COUNTA(B7:K7)&lt;10,"INCOMPLETE",SUM(B7-1,5-C7,D7-1,5-E7,F7-1,5-G7,H7-1,5-I7,J7-1,5-K7)))</f>
        <v/>
      </c>
      <c r="M7" s="2">
        <f>IF(ISNUMBER(L7),L7*2.5,"")</f>
        <v/>
      </c>
      <c r="N7" s="2" t="inlineStr"/>
      <c r="O7" s="2" t="inlineStr"/>
      <c r="P7" s="2" t="inlineStr"/>
      <c r="Q7" s="2" t="inlineStr"/>
      <c r="R7" s="2">
        <f>IF(COUNTA(B7:K7)=0,"Not collected",IF(COUNTA(B7:K7)&lt;10,"Incomplete","Calculated"))</f>
        <v/>
      </c>
    </row>
    <row r="8">
      <c r="A8" s="2" t="inlineStr">
        <is>
          <t>P7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>
        <f>IF(COUNTA(B8:K8)=0,"",IF(COUNTA(B8:K8)&lt;10,"INCOMPLETE",SUM(B8-1,5-C8,D8-1,5-E8,F8-1,5-G8,H8-1,5-I8,J8-1,5-K8)))</f>
        <v/>
      </c>
      <c r="M8" s="2">
        <f>IF(ISNUMBER(L8),L8*2.5,"")</f>
        <v/>
      </c>
      <c r="N8" s="2" t="inlineStr"/>
      <c r="O8" s="2" t="inlineStr"/>
      <c r="P8" s="2" t="inlineStr"/>
      <c r="Q8" s="2" t="inlineStr"/>
      <c r="R8" s="2">
        <f>IF(COUNTA(B8:K8)=0,"Not collected",IF(COUNTA(B8:K8)&lt;10,"Incomplete","Calculated"))</f>
        <v/>
      </c>
    </row>
    <row r="9">
      <c r="A9" s="2" t="inlineStr">
        <is>
          <t>AVERAGE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>
        <f>IF(COUNT(M2:M8)=7,AVERAGE(M2:M8),"")</f>
        <v/>
      </c>
      <c r="N9" s="2" t="inlineStr"/>
      <c r="O9" s="2" t="inlineStr"/>
      <c r="P9" s="2" t="inlineStr"/>
      <c r="Q9" s="2" t="inlineStr"/>
      <c r="R9" s="2">
        <f>IF(COUNT(M2:M8)=7,"Calculated","Not calculated")</f>
        <v/>
      </c>
    </row>
  </sheetData>
  <autoFilter ref="A1:R9"/>
  <dataValidations count="1">
    <dataValidation sqref="B2:K8" showDropDown="0" showInputMessage="1" showErrorMessage="1" allowBlank="1" errorTitle="Invalid SUS response" error="Enter a whole-number SUS response from 1 to 5." promptTitle="SUS response" prompt="Enter 1 (strongly disagree) through 5 (strongly agree)." type="whole" operator="between">
      <formula1>1</formula1>
      <formula2>5</formula2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2026-08-02T12:09:38Z</dcterms:created>
  <dcterms:modified xmlns:dcterms="http://purl.org/dc/terms/" xmlns:xsi="http://www.w3.org/2001/XMLSchema-instance" xsi:type="dcterms:W3CDTF">2026-08-02T12:09:38Z</dcterms:modified>
</cp:coreProperties>
</file>