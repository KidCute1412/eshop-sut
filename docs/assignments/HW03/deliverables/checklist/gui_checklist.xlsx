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HCMUS\Third Year\Software Testing\eshop-sut\docs\assignments\HW03\deliverables\checklist\"/>
    </mc:Choice>
  </mc:AlternateContent>
  <xr:revisionPtr revIDLastSave="0" documentId="13_ncr:1_{0FA921F8-BA39-43EA-A3F7-E5D5F29B6D09}" xr6:coauthVersionLast="47" xr6:coauthVersionMax="47" xr10:uidLastSave="{00000000-0000-0000-0000-000000000000}"/>
  <bookViews>
    <workbookView xWindow="-108" yWindow="-108" windowWidth="30936" windowHeight="18696" xr2:uid="{00000000-000D-0000-FFFF-FFFF00000000}"/>
  </bookViews>
  <sheets>
    <sheet name="Test Summary" sheetId="1" r:id="rId1"/>
    <sheet name="GUI Checklist" sheetId="2" r:id="rId2"/>
  </sheets>
  <definedNames>
    <definedName name="_xlnm._FilterDatabase" localSheetId="1" hidden="1">'GUI Checklist'!$A$1:$O$46</definedName>
    <definedName name="_xlnm._FilterDatabase" localSheetId="0" hidden="1">'Test Summary'!$A$1:$B$29</definedName>
    <definedName name="_xlnm.Print_Area" localSheetId="1">'GUI Checklist'!$A$1:$O$46</definedName>
    <definedName name="_xlnm.Print_Titles" localSheetId="1">'GUI Checklist'!$1:$1</definedName>
  </definedNames>
  <calcPr calcId="191029" forceFullCalc="1"/>
</workbook>
</file>

<file path=xl/calcChain.xml><?xml version="1.0" encoding="utf-8"?>
<calcChain xmlns="http://schemas.openxmlformats.org/spreadsheetml/2006/main">
  <c r="B25" i="1" l="1"/>
  <c r="B24" i="1"/>
  <c r="B23" i="1"/>
  <c r="B20" i="1"/>
  <c r="B19" i="1"/>
  <c r="B18" i="1"/>
  <c r="B17" i="1"/>
  <c r="B14" i="1"/>
  <c r="B13" i="1"/>
  <c r="B12" i="1"/>
  <c r="B11" i="1"/>
  <c r="B10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<sst xmlns="http://schemas.openxmlformats.org/spreadsheetml/2006/main" count="706" uniqueCount="392">
  <si>
    <t>HW03 GUI Checklist Summary</t>
  </si>
  <si>
    <t>Current classified result</t>
  </si>
  <si>
    <t>Designed</t>
  </si>
  <si>
    <t>Executed</t>
  </si>
  <si>
    <t>Passed</t>
  </si>
  <si>
    <t>Failed</t>
  </si>
  <si>
    <t>Not Executed</t>
  </si>
  <si>
    <t>Unique defects</t>
  </si>
  <si>
    <t>Requirement coverage</t>
  </si>
  <si>
    <t>Items</t>
  </si>
  <si>
    <t>FR-07</t>
  </si>
  <si>
    <t>FR-10</t>
  </si>
  <si>
    <t>FR-11</t>
  </si>
  <si>
    <t>FR-18</t>
  </si>
  <si>
    <t>FR-23</t>
  </si>
  <si>
    <t>Interface-aspect coverage</t>
  </si>
  <si>
    <t>IA-01 General UI</t>
  </si>
  <si>
    <t>IA-02 Forms &amp; Validation</t>
  </si>
  <si>
    <t>IA-03 Navigation</t>
  </si>
  <si>
    <t>IA-04 Feedback &amp; State</t>
  </si>
  <si>
    <t>Design provenance</t>
  </si>
  <si>
    <t>AI</t>
  </si>
  <si>
    <t>Human-added</t>
  </si>
  <si>
    <t>Hybrid</t>
  </si>
  <si>
    <t>Evidence note</t>
  </si>
  <si>
    <t>PDF requires screenshots for Failed items; all 20 Failed rows have evidence and Bug IDs.</t>
  </si>
  <si>
    <t>Desktop execution</t>
  </si>
  <si>
    <t>Google Chrome 151.0.7922.72 / Windows 11 / two clean runs / 2 August 2026</t>
  </si>
  <si>
    <t>Mobile evidence</t>
  </si>
  <si>
    <t>Four authentic 1284×2778 captures; exact device metadata and required identity overlay remain to be supplied.</t>
  </si>
  <si>
    <t>Item ID</t>
  </si>
  <si>
    <t>FR ID</t>
  </si>
  <si>
    <t>Interface Aspect (IA)</t>
  </si>
  <si>
    <t>Screen</t>
  </si>
  <si>
    <t>Test Item Description</t>
  </si>
  <si>
    <t>Preconditions</t>
  </si>
  <si>
    <t>Expected Result</t>
  </si>
  <si>
    <t>Actual Result</t>
  </si>
  <si>
    <t>Status</t>
  </si>
  <si>
    <t>Environment</t>
  </si>
  <si>
    <t>Bug ID</t>
  </si>
  <si>
    <t>Origin</t>
  </si>
  <si>
    <t>AI Critique / Reason Missed</t>
  </si>
  <si>
    <t>Notes</t>
  </si>
  <si>
    <t>Evidence Reference</t>
  </si>
  <si>
    <t>CHK-GUI-001</t>
  </si>
  <si>
    <t>Web Cart</t>
  </si>
  <si>
    <t>Check Web Cart table columns alignment, currency formatting (X,XXX ₫), and total summary display</t>
  </si>
  <si>
    <t>Cart contains items</t>
  </si>
  <si>
    <t>Table displays Product, Price, Quantity, Subtotal, Actions with currency formatted in ₫</t>
  </si>
  <si>
    <t>Cart rendered 5 columns (Sản phẩm, Giá, Số lượng, Thành tiền, Thao tác) and displayed the formatted total.</t>
  </si>
  <si>
    <t>Google Chrome 151 / Windows 11</t>
  </si>
  <si>
    <t>N/A</t>
  </si>
  <si>
    <t>Standard static UI layout correctly recognized by AI model during visual DOM inspection.</t>
  </si>
  <si>
    <t>Executed twice on Google Chrome 151 / Windows.</t>
  </si>
  <si>
    <t>CHK-GUI-002</t>
  </si>
  <si>
    <t>Web Product Detail</t>
  </si>
  <si>
    <t>Verify Web Product Detail adds the selected product on the first CTA activation</t>
  </si>
  <si>
    <t>Product 1 detail is loaded and the cart is empty</t>
  </si>
  <si>
    <t>The first activation of 'Thêm vào giỏ hàng' immediately adds one unit to cart state</t>
  </si>
  <si>
    <t>After one activation, the cart remained empty; a second activation was required.</t>
  </si>
  <si>
    <t>BUG-001</t>
  </si>
  <si>
    <t>The initial AI checklist treated the visible onClick binding as sufficient and did not challenge the hidden click counter with a first-action runtime check.</t>
  </si>
  <si>
    <t>Executed twice on Google Chrome 151 / Windows 11 on 2 August 2026; first activation did not add the product.</t>
  </si>
  <si>
    <t>bugs/evidence_images/bug_001_first_click_cart_empty.png</t>
  </si>
  <si>
    <t>CHK-GUI-003</t>
  </si>
  <si>
    <t>Validate rejection of a negative product quantity</t>
  </si>
  <si>
    <t>Product Detail is loaded and the cart is empty</t>
  </si>
  <si>
    <t>Entering -5 is rejected with corrective feedback and no cart item is created</t>
  </si>
  <si>
    <t>The product was added with quantity -5 and the cart displayed a -150,000,000 ₫ subtotal.</t>
  </si>
  <si>
    <t>BUG-002</t>
  </si>
  <si>
    <t>The initial AI checklist did not apply a negative boundary because the numeric control looked constrained despite having no effective minimum validation.</t>
  </si>
  <si>
    <t>Executed twice on Google Chrome 151 / Windows 11 on 2 August 2026; test quantity -5.</t>
  </si>
  <si>
    <t>bugs/evidence_images/bug_002_negative_quantity.png</t>
  </si>
  <si>
    <t>CHK-GUI-004</t>
  </si>
  <si>
    <t>Validate rejection of a decimal product quantity</t>
  </si>
  <si>
    <t>Entering 2.5 is rejected with feedback that quantity must be an integer</t>
  </si>
  <si>
    <t>Entering 2.5 produced cart quantity 2 without any validation message.</t>
  </si>
  <si>
    <t>BUG-003</t>
  </si>
  <si>
    <t>The initial AI checklist did not test silent numeric coercion; parseInt converts 2.5 without raising an error, so the defect appears only with a decimal boundary.</t>
  </si>
  <si>
    <t>Executed twice on Google Chrome 151 / Windows 11 on 2 August 2026; test quantity 2.5.</t>
  </si>
  <si>
    <t>bugs/evidence_images/bug_003_decimal_quantity_truncated.png</t>
  </si>
  <si>
    <t>CHK-GUI-005</t>
  </si>
  <si>
    <t>Web Checkout</t>
  </si>
  <si>
    <t>Verify the authoritative Checkout total cannot be edited by the customer</t>
  </si>
  <si>
    <t>An authenticated customer has cart items and opens /checkout</t>
  </si>
  <si>
    <t>The calculated payment total is read-only or rendered as non-editable text</t>
  </si>
  <si>
    <t>The total was rendered in an editable number input and accepted manual changes.</t>
  </si>
  <si>
    <t>BUG-006</t>
  </si>
  <si>
    <t>The initial AI checklist focused on visual total formatting and missed the trust-boundary risk because the editable field was styled like a summary value.</t>
  </si>
  <si>
    <t>Executed twice on Google Chrome 151 / Windows 11 on 2 August 2026; displayed total 30,000,000 ₫.</t>
  </si>
  <si>
    <t>bugs/evidence_images/bug_006_editable_checkout_total.png</t>
  </si>
  <si>
    <t>CHK-GUI-006</t>
  </si>
  <si>
    <t>Verify Web Cart '← Mua tiếp' and 'Tiến hành thanh toán' navigation links</t>
  </si>
  <si>
    <t>User in Cart view with items</t>
  </si>
  <si>
    <t>'← Mua tiếp' redirects to /; 'Tiến hành thanh toán' opens /checkout</t>
  </si>
  <si>
    <t>Continue shopping links to the product list and the checkout control is available.</t>
  </si>
  <si>
    <t>Standard React Router &lt;Link&gt; and navigate() routes parsed accurately by AI.</t>
  </si>
  <si>
    <t>CHK-GUI-007</t>
  </si>
  <si>
    <t>Verify Web Checkout unauthenticated user access redirection</t>
  </si>
  <si>
    <t>Unauthenticated user clicks Checkout</t>
  </si>
  <si>
    <t>Triggers login modal/alert and redirects to /login</t>
  </si>
  <si>
    <t>Unauthenticated checkout displayed “Bạn cần đăng nhập để thanh toán!” and redirected to /login.</t>
  </si>
  <si>
    <t>Authentication check logic correctly mapped from auth context.</t>
  </si>
  <si>
    <t>CHK-GUI-008</t>
  </si>
  <si>
    <t>Verify Web Cart empty state display when cart is cleared</t>
  </si>
  <si>
    <t>Cart emptied</t>
  </si>
  <si>
    <t>Displays 'Giỏ hàng của bạn đang trống' with CTA button 'Tiếp tục mua sắm'</t>
  </si>
  <si>
    <t>The empty-cart message and continue-shopping link were displayed after removing the item.</t>
  </si>
  <si>
    <t>Empty state conditionally rendered when cart.length === 0.</t>
  </si>
  <si>
    <t>CHK-GUI-009</t>
  </si>
  <si>
    <t>Web Cart / Checkout</t>
  </si>
  <si>
    <t>Verify successful checkout clears purchased cart state</t>
  </si>
  <si>
    <t>An authenticated customer completes checkout with one cart item</t>
  </si>
  <si>
    <t>React state, localStorage, and the header badge no longer contain the purchased item</t>
  </si>
  <si>
    <t>The purchased item remained in the cart after checkout completed.</t>
  </si>
  <si>
    <t>BUG-007</t>
  </si>
  <si>
    <t>The initial AI checklist stopped at the success destination and did not verify persisted cart state after the transaction.</t>
  </si>
  <si>
    <t>Executed twice on Google Chrome 151 / Windows 11 on 2 August 2026; one iPhone 15 Pro Max was purchased.</t>
  </si>
  <si>
    <t>bugs/evidence_images/bug_007_cart_retained_after_checkout.png</t>
  </si>
  <si>
    <t>CHK-GUI-010</t>
  </si>
  <si>
    <t>Mobile Product Detail</t>
  </si>
  <si>
    <t>Verify Mobile Product Detail name, price, description, and overall layout</t>
  </si>
  <si>
    <t>A product detail is loaded in the Mobile app</t>
  </si>
  <si>
    <t>Product name, formatted price, description, and controls are readable and arranged without overlap</t>
  </si>
  <si>
    <t>The authentic Mobile capture shows the iPhone 15 Pro Max name, formatted price, description, quantity input, and Add to Cart CTA without overlap.</t>
  </si>
  <si>
    <t>Expo Go / iPhone capture, 1284x2778</t>
  </si>
  <si>
    <t>Runtime evidence confirms the visible Product Detail content and layout.</t>
  </si>
  <si>
    <t>Executed on Mobile; screenshot needs the PDF-required identity overlay before final submission.</t>
  </si>
  <si>
    <t>cross_platform/mobile_real_device/mobile_01_product_detail.png</t>
  </si>
  <si>
    <t>CHK-GUI-011</t>
  </si>
  <si>
    <t>Verify a positive integer quantity is added in the requested amount</t>
  </si>
  <si>
    <t>Mobile Product Detail is loaded and quantity is a positive integer N</t>
  </si>
  <si>
    <t>Tapping Add to Cart adds exactly N units of the selected product</t>
  </si>
  <si>
    <t>After adding quantity 1, the Mobile cart shows one iPhone 15 Pro Max with quantity 1, matching the requested amount.</t>
  </si>
  <si>
    <t>The cart capture confirms the positive quantity persisted correctly.</t>
  </si>
  <si>
    <t>cross_platform/mobile_real_device/mobile_02_valid_quantity_add.png</t>
  </si>
  <si>
    <t>CHK-GUI-012</t>
  </si>
  <si>
    <t>Verify quantity 0 does not create an unintended cart item</t>
  </si>
  <si>
    <t>FR-23 Mobile Product Detail is loaded</t>
  </si>
  <si>
    <t>Entering 0 is rejected and no product is added to the cart</t>
  </si>
  <si>
    <t>The before capture shows quantity 0; the after capture shows a success alert and 'Đã thêm', so the invalid value was accepted.</t>
  </si>
  <si>
    <t>Expo Go / iPhone capture, 1284×2778</t>
  </si>
  <si>
    <t>BUG-022</t>
  </si>
  <si>
    <t>The initial AI checklist emphasized the positive add path and did not apply the zero boundary to the Mobile quantity normalizer.</t>
  </si>
  <si>
    <t>Observed in the supplied Mobile before/after capture pair; exact device metadata and the required identity overlay remain to be supplied.</t>
  </si>
  <si>
    <t>cross_platform/mobile_real_device/mobile_03_invalid_quantity_before.png; cross_platform/mobile_real_device/mobile_04_invalid_quantity_after.png</t>
  </si>
  <si>
    <t>CHK-GUI-013</t>
  </si>
  <si>
    <t>Verify the primary Add to Cart CTA is visually identifiable</t>
  </si>
  <si>
    <t>FR-23 Mobile Product Detail is fully loaded</t>
  </si>
  <si>
    <t>A clearly labeled primary CTA is visible and distinguishable from surrounding content</t>
  </si>
  <si>
    <t>The full-screen Mobile capture shows a prominent green 'Thêm vào giỏ hàng' CTA below the quantity field.</t>
  </si>
  <si>
    <t>The AI-generated visual hierarchy check was retained and confirmed against the supplied runtime capture.</t>
  </si>
  <si>
    <t>Observed in the supplied Mobile Product Detail capture; exact device metadata and the required identity overlay remain to be supplied.</t>
  </si>
  <si>
    <t>CHK-GUI-014</t>
  </si>
  <si>
    <t>Order Lifecycle</t>
  </si>
  <si>
    <t>Check initial order status badge rendering upon successful order placement</t>
  </si>
  <si>
    <t>Order created</t>
  </si>
  <si>
    <t>Status badge displays 'Chờ xác nhận' (pending) with yellow status highlight</t>
  </si>
  <si>
    <t>A newly created order displayed “Chờ xác nhận” with the pending badge style.</t>
  </si>
  <si>
    <t>Default initial state pending verified.</t>
  </si>
  <si>
    <t>CHK-GUI-015</t>
  </si>
  <si>
    <t>Verify valid state transition sequence: pending -&gt; confirmed -&gt; shipping -&gt; delivered</t>
  </si>
  <si>
    <t>Admin user logged in</t>
  </si>
  <si>
    <t>Transitions execute sequentially; status updates on UI with appropriate colors</t>
  </si>
  <si>
    <t>The API accepted the valid sequence confirmed → shipping → delivered.</t>
  </si>
  <si>
    <t>Happy path state machine transitions operating as designed.</t>
  </si>
  <si>
    <t>CHK-GUI-016</t>
  </si>
  <si>
    <t>Validate customer cancellation is rejected after an order enters shipping</t>
  </si>
  <si>
    <t>The authenticated customer owns an order in shipping state</t>
  </si>
  <si>
    <t>Cancellation is rejected and the order remains in shipping state</t>
  </si>
  <si>
    <t>The cancellation request returned HTTP 200 and the shipping order became canceled.</t>
  </si>
  <si>
    <t>BUG-010</t>
  </si>
  <si>
    <t>The initial AI happy-path state model did not challenge cancellation after fulfillment had begun; human review added the shipping boundary transition.</t>
  </si>
  <si>
    <t>Executed twice on Google Chrome 151 / Windows 11 on 2 August 2026; shipping test order.</t>
  </si>
  <si>
    <t>bugs/evidence_images/bug_010_shipping_order_canceled.png</t>
  </si>
  <si>
    <t>CHK-GUI-017</t>
  </si>
  <si>
    <t>Validate a canceled order cannot transition to delivered</t>
  </si>
  <si>
    <t>An administrator is authenticated and the order status is canceled</t>
  </si>
  <si>
    <t>The Admin UI withholds the action and the API rejects canceled-to-delivered transition</t>
  </si>
  <si>
    <t>Canceled → delivered returned HTTP 200 and the Admin UI displayed the delivered state.</t>
  </si>
  <si>
    <t>BUG-011</t>
  </si>
  <si>
    <t>The initial AI checklist covered the valid sequence but did not test escape from a terminal canceled state; human review added the illegal transition.</t>
  </si>
  <si>
    <t>Executed twice on Google Chrome 151 / Windows 11 on 2 August 2026; canceled test order.</t>
  </si>
  <si>
    <t>bugs/evidence_images/bug_011_canceled_order_delivered.png</t>
  </si>
  <si>
    <t>CHK-GUI-018</t>
  </si>
  <si>
    <t>Validate percentage-coupon arithmetic on Checkout</t>
  </si>
  <si>
    <t>A 30,000,000 ₫ cart total is displayed and SAVE10 is active</t>
  </si>
  <si>
    <t>SAVE10 reports 3,000,000 ₫ savings and a final total of 27,000,000 ₫</t>
  </si>
  <si>
    <t>SAVE10 reported -270,000,000 ₫ savings and a 300,000,000 ₫ final total.</t>
  </si>
  <si>
    <t>BUG-015</t>
  </si>
  <si>
    <t>The initial AI checklist verified coupon acceptance but did not calculate an independent numeric oracle for a percentage discount.</t>
  </si>
  <si>
    <t>Executed twice on Google Chrome 151 / Windows 11 on 2 August 2026; SAVE10 at 10% on 30,000,000 ₫.</t>
  </si>
  <si>
    <t>bugs/evidence_images/bug_015_percent_coupon_calculation.png</t>
  </si>
  <si>
    <t>CHK-GUI-019</t>
  </si>
  <si>
    <t>Validate invalid coupon code feedback on Checkout</t>
  </si>
  <si>
    <t>Expired or non-existent coupon entered</t>
  </si>
  <si>
    <t>Displays red error text 'Mã giảm giá không hợp lệ hoặc đã hết hạn'</t>
  </si>
  <si>
    <t>The invalid coupon displayed the inline message “Mã giảm giá không tồn tại hoặc đã bị vô hiệu hóa”.</t>
  </si>
  <si>
    <t>Error response handling verified.</t>
  </si>
  <si>
    <t>CHK-GUI-020</t>
  </si>
  <si>
    <t>Check order confirmation screen navigation after successful order placement</t>
  </si>
  <si>
    <t>Order form submitted</t>
  </si>
  <si>
    <t>Redirects to /profile or Order Details with order summary</t>
  </si>
  <si>
    <t>Checkout displayed a dedicated success state and provided navigation back to the home page.</t>
  </si>
  <si>
    <t>Router redirect verified.</t>
  </si>
  <si>
    <t>CHK-GUI-021</t>
  </si>
  <si>
    <t>Check terminal state immutability for delivered orders</t>
  </si>
  <si>
    <t>Order status delivered</t>
  </si>
  <si>
    <t>Action buttons (Cancel, Update Status) are disabled/hidden</t>
  </si>
  <si>
    <t>A delivered order rejected a transition back to confirmed with HTTP 400.</t>
  </si>
  <si>
    <t>Terminal state handling for delivered orders verified.</t>
  </si>
  <si>
    <t>CHK-GUI-022</t>
  </si>
  <si>
    <t>Web Order History</t>
  </si>
  <si>
    <t>Check Web Profile Order History table responsiveness and layout</t>
  </si>
  <si>
    <t>Web Profile page open</t>
  </si>
  <si>
    <t>Two-column desktop layout (Profile info on left, Order history on right)</t>
  </si>
  <si>
    <t>Order history rendered as a structured five-column table at 1440×1000.</t>
  </si>
  <si>
    <t>Tailwind CSS flex/grid layout verified.</t>
  </si>
  <si>
    <t>CHK-GUI-023</t>
  </si>
  <si>
    <t>Verify status badge color mapping in Order History table</t>
  </si>
  <si>
    <t>Orders with various statuses</t>
  </si>
  <si>
    <t>pending: yellow, confirmed: indigo, shipping: blue, delivered: green, canceled: red</t>
  </si>
  <si>
    <t>Status badges rendered localized labels: Đã hủy, Đã giao, Chờ xác nhận, Chờ xác nhận.</t>
  </si>
  <si>
    <t>Status color mapping dictionary verified.</t>
  </si>
  <si>
    <t>CHK-GUI-024</t>
  </si>
  <si>
    <t>Web User Profile</t>
  </si>
  <si>
    <t>Validate a standard Vietnamese mobile number can be saved</t>
  </si>
  <si>
    <t>An authenticated customer is editing the Profile phone field</t>
  </si>
  <si>
    <t>The valid ten-digit number 0912345678 is accepted and saved</t>
  </si>
  <si>
    <t>The valid number 0912345678 was rejected with 'Số điện thoại không hợp lệ. Vui lòng nhập đúng 9-10 chữ số.'.</t>
  </si>
  <si>
    <t>BUG-012</t>
  </si>
  <si>
    <t>The initial AI checklist treated the numeric-length regex as sufficient and missed the Vietnamese numbering rule that requires a leading zero.</t>
  </si>
  <si>
    <t>Executed twice on Google Chrome 151 / Windows 11 on 2 August 2026; test number 0912345678.</t>
  </si>
  <si>
    <t>bugs/evidence_images/bug_012_valid_phone_rejected.png</t>
  </si>
  <si>
    <t>CHK-GUI-025</t>
  </si>
  <si>
    <t>Validate User Profile address update input field text saving</t>
  </si>
  <si>
    <t>User entering new shipping address</t>
  </si>
  <si>
    <t>Input accepted and saved via PUT /api/user/profile</t>
  </si>
  <si>
    <t>The address was saved through the profile form; confirmation message: “Cập nhật thành công!”.</t>
  </si>
  <si>
    <t>Form state binding verified.</t>
  </si>
  <si>
    <t>CHK-GUI-026</t>
  </si>
  <si>
    <t>Verify customers can open item-level details for a historical order</t>
  </si>
  <si>
    <t>An authenticated customer has at least one order in Order History</t>
  </si>
  <si>
    <t>Each order exposes an expansion or details control with its purchased-item breakdown</t>
  </si>
  <si>
    <t>Order-history rows provided no expansion control, details link, or item-level view.</t>
  </si>
  <si>
    <t>BUG-016</t>
  </si>
  <si>
    <t>The initial AI checklist checked table rendering but did not trace the customer's need to inspect purchased items after opening history.</t>
  </si>
  <si>
    <t>Executed twice on Google Chrome 151 / Windows 11 on 2 August 2026; existing customer order.</t>
  </si>
  <si>
    <t>bugs/evidence_images/bug_016_order_history_has_no_details.png</t>
  </si>
  <si>
    <t>CHK-GUI-027</t>
  </si>
  <si>
    <t>Verify empty state rendering when user has 0 orders</t>
  </si>
  <si>
    <t>New account with no orders</t>
  </si>
  <si>
    <t>Displays 'Bạn chưa có đơn hàng nào.'</t>
  </si>
  <si>
    <t>The order-history empty state was displayed for a user with no orders at the start of execution.</t>
  </si>
  <si>
    <t>Empty state condition orders.length === 0 verified.</t>
  </si>
  <si>
    <t>CHK-GUI-028</t>
  </si>
  <si>
    <t>Mobile Cart</t>
  </si>
  <si>
    <t>Verify a successful add is reflected in the destination cart state</t>
  </si>
  <si>
    <t>FR-23 Product Detail is open with quantity 1</t>
  </si>
  <si>
    <t>After adding, the cart displays the selected product identity and quantity 1</t>
  </si>
  <si>
    <t>The supplied cart capture shows iPhone 15 Pro Max with quantity 1 after the add flow.</t>
  </si>
  <si>
    <t>The AI-generated cross-screen state check was retained and confirmed by the supplied cart capture.</t>
  </si>
  <si>
    <t>Observed in the supplied Mobile cart capture; exact device metadata and the required identity overlay remain to be supplied.</t>
  </si>
  <si>
    <t>CHK-GUI-029</t>
  </si>
  <si>
    <t>Verify content and the primary CTA remain visible on the captured Mobile viewport</t>
  </si>
  <si>
    <t>FR-23 Product Detail is open at the captured 1284×2778 resolution</t>
  </si>
  <si>
    <t>Product content and the Add to Cart CTA are visible without clipping, overlap, or obstruction</t>
  </si>
  <si>
    <t>The full-screen capture shows the detail content and primary CTA without clipping or overlap.</t>
  </si>
  <si>
    <t>Human review narrowed the AI responsive-layout assertion to the viewport directly established by the supplied evidence.</t>
  </si>
  <si>
    <t>CHK-GUI-030</t>
  </si>
  <si>
    <t>Admin Dashboard</t>
  </si>
  <si>
    <t>Check Admin Dashboard layout summary metrics cards display</t>
  </si>
  <si>
    <t>Admin Dashboard tab active</t>
  </si>
  <si>
    <t>Renders metrics cards for Total Revenue, Total Orders, Total Products</t>
  </si>
  <si>
    <t>Dashboard displayed revenue and order-count summary cards.</t>
  </si>
  <si>
    <t>Admin Dashboard grid structure verified.</t>
  </si>
  <si>
    <t>CHK-GUI-031</t>
  </si>
  <si>
    <t>Verify delivered-order revenue equals an independently calculated oracle</t>
  </si>
  <si>
    <t>Delivered orders with known totals exist</t>
  </si>
  <si>
    <t>Dashboard revenue equals the 8,234,567 ₫ sum of delivered order totals</t>
  </si>
  <si>
    <t>The dashboard displayed 16,469,134 ₫, exactly twice the 8,234,567 ₫ oracle.</t>
  </si>
  <si>
    <t>BUG-014</t>
  </si>
  <si>
    <t>The initial AI checklist checked that a revenue card existed but did not independently sum seeded delivered orders to challenge the accumulator.</t>
  </si>
  <si>
    <t>Executed twice on Google Chrome 151 / Windows 11 on 2 August 2026; delivered totals summed independently.</t>
  </si>
  <si>
    <t>bugs/evidence_images/bug_014_admin_revenue_doubled.png</t>
  </si>
  <si>
    <t>CHK-GUI-032</t>
  </si>
  <si>
    <t>Admin Order Management</t>
  </si>
  <si>
    <t>Verify stored shipping-address markup is rendered as escaped text</t>
  </si>
  <si>
    <t>An order contains the address payload &lt;img src=x onerror=alert(1)&gt;</t>
  </si>
  <si>
    <t>The complete payload is displayed as harmless plain text in the Admin table</t>
  </si>
  <si>
    <t>Stored shipping-address markup was interpreted in the Admin Orders table and rendered the test marker.</t>
  </si>
  <si>
    <t>BUG-013</t>
  </si>
  <si>
    <t>The initial AI checklist relied on React's default escaping and did not add a stored-injection probe for the exceptional dangerouslySetInnerHTML path.</t>
  </si>
  <si>
    <t>Executed twice on Google Chrome 151 / Windows 11 on 2 August 2026; controlled stored-markup payload.</t>
  </si>
  <si>
    <t>bugs/evidence_images/bug_013_stored_html_injection.png</t>
  </si>
  <si>
    <t>CHK-GUI-033</t>
  </si>
  <si>
    <t>Check Admin Order Management status update dropdown/action buttons</t>
  </si>
  <si>
    <t>Admin viewing orders table</t>
  </si>
  <si>
    <t>Buttons enabled for valid transitions only based on current status</t>
  </si>
  <si>
    <t>The pending order exposed the expected actions: Xác nhận, Hủy.</t>
  </si>
  <si>
    <t>Table row action layout verified.</t>
  </si>
  <si>
    <t>CHK-GUI-034</t>
  </si>
  <si>
    <t>Admin Navigation</t>
  </si>
  <si>
    <t>Check Admin Sidebar navigation menu items (Dashboard, Categories, Products, Coupons, Orders, Users)</t>
  </si>
  <si>
    <t>Admin portal open</t>
  </si>
  <si>
    <t>Clicking menu items switches active view content without full page reload</t>
  </si>
  <si>
    <t>All six primary admin navigation destinations were visible and selectable.</t>
  </si>
  <si>
    <t>Sidebar routing verified.</t>
  </si>
  <si>
    <t>CHK-GUI-035</t>
  </si>
  <si>
    <t>Verify an Admin order transition provides explicit success feedback</t>
  </si>
  <si>
    <t>An administrator confirms a pending order</t>
  </si>
  <si>
    <t>A success message confirms completion in addition to the resulting status badge</t>
  </si>
  <si>
    <t>The status changed to Đã xác nhận, but no success toast or confirmation message appeared.</t>
  </si>
  <si>
    <t>BUG-019</t>
  </si>
  <si>
    <t>The initial AI checklist accepted the changed badge as sufficient state feedback and did not separately evaluate explicit action confirmation.</t>
  </si>
  <si>
    <t>Executed twice on Google Chrome 151 / Windows 11 on 2 August 2026; pending-to-confirmed transition.</t>
  </si>
  <si>
    <t>bugs/evidence_images/bug_019_admin_status_no_success_feedback.png</t>
  </si>
  <si>
    <t>CHK-GUI-036</t>
  </si>
  <si>
    <t>Admin Product Management</t>
  </si>
  <si>
    <t>Verify editing one product changes only the selected record</t>
  </si>
  <si>
    <t>An administrator sees multiple products and opens one product editor</t>
  </si>
  <si>
    <t>Only the selected product name changes after save; all other rows remain unchanged</t>
  </si>
  <si>
    <t>Editing one product changed every visible product name in client state.</t>
  </si>
  <si>
    <t>BUG-017</t>
  </si>
  <si>
    <t>The initial AI checklist verified the save response but did not compare unaffected sibling rows after the client-state update.</t>
  </si>
  <si>
    <t>Executed twice on Google Chrome 151 / Windows 11 on 2 August 2026; one selected product name edited.</t>
  </si>
  <si>
    <t>bugs/evidence_images/bug_017_admin_product_edit_corrupts_list.png</t>
  </si>
  <si>
    <t>CHK-GUI-037</t>
  </si>
  <si>
    <t>Verify Admin data loading provides visible progress feedback</t>
  </si>
  <si>
    <t>An authenticated administrator opens Orders while API responses are deliberately delayed</t>
  </si>
  <si>
    <t>A spinner, skeleton, loading message, or disabled state remains visible until retrieval completes</t>
  </si>
  <si>
    <t>No loading spinner, progress indicator, or loading message appeared while the delayed requests were pending.</t>
  </si>
  <si>
    <t>BUG-018</t>
  </si>
  <si>
    <t>The initial AI checklist evaluated only the loaded table and omitted the transient state that appears under delayed network conditions.</t>
  </si>
  <si>
    <t>Executed twice on Google Chrome 151 / Windows 11 on 2 August 2026 with delayed Admin API responses.</t>
  </si>
  <si>
    <t>bugs/evidence_images/bug_018_admin_missing_loading_indicator.png</t>
  </si>
  <si>
    <t>CHK-GUI-038</t>
  </si>
  <si>
    <t>Check Mobile Product Detail image display and aspect ratio</t>
  </si>
  <si>
    <t>Mobile Product Detail screen</t>
  </si>
  <si>
    <t>Product image scales proportionally with aspect ratio preserved (resizeMode='contain')</t>
  </si>
  <si>
    <t>The Mobile capture shows the iPhone 15 product media stretched across the fixed image frame rather than proportionally contained.</t>
  </si>
  <si>
    <t>BUG-020</t>
  </si>
  <si>
    <t>The visible distortion confirms the aspect-ratio defect at runtime.</t>
  </si>
  <si>
    <t>CHK-GUI-039</t>
  </si>
  <si>
    <t>Verify product category name display on Mobile Product Detail screen</t>
  </si>
  <si>
    <t>Product detail screen open</t>
  </si>
  <si>
    <t>Product category name displayed below product title</t>
  </si>
  <si>
    <t>The complete Mobile Product Detail capture shows name, price, description, quantity, and CTA, but no product category label or value.</t>
  </si>
  <si>
    <t>BUG-021</t>
  </si>
  <si>
    <t>The full-screen runtime capture demonstrates the category omission.</t>
  </si>
  <si>
    <t>CHK-GUI-040</t>
  </si>
  <si>
    <t>Verify the Mobile quantity control accepts numeric editing</t>
  </si>
  <si>
    <t>FR-23 Product Detail is open and quantity initially displays 1</t>
  </si>
  <si>
    <t>The quantity field accepts a numeric edit and visibly displays the entered value</t>
  </si>
  <si>
    <t>The before-action capture shows the quantity field displaying the entered numeric value 0.</t>
  </si>
  <si>
    <t>The AI-generated input-operability check was retained; validation semantics are evaluated separately by CHK-GUI-012 and CHK-GUI-041.</t>
  </si>
  <si>
    <t>Observed in the supplied Mobile before-action capture; exact device metadata and the required identity overlay remain to be supplied.</t>
  </si>
  <si>
    <t>cross_platform/mobile_real_device/mobile_03_invalid_quantity_before.png</t>
  </si>
  <si>
    <t>CHK-GUI-041</t>
  </si>
  <si>
    <t>Verify quantity 0 receives clear corrective feedback</t>
  </si>
  <si>
    <t>The Mobile quantity field contains 0 before Add to Cart is selected</t>
  </si>
  <si>
    <t>The app explains that quantity must be positive and keeps the user in a recoverable state</t>
  </si>
  <si>
    <t>After quantity 0, the app displayed a success alert and 'Đã thêm' without corrective feedback.</t>
  </si>
  <si>
    <t>The initial AI checklist checked add feedback but did not distinguish success feedback from corrective feedback at the zero boundary.</t>
  </si>
  <si>
    <t>CHK-GUI-042</t>
  </si>
  <si>
    <t>Check Mobile Product Detail header back button and home navigation</t>
  </si>
  <si>
    <t>Product detail screen</t>
  </si>
  <si>
    <t>Header back button returns user to Product Grid on Home screen</t>
  </si>
  <si>
    <t>The full Mobile Product Detail capture shows the shared EShop Mobile brand but no dedicated back control on the detail screen.</t>
  </si>
  <si>
    <t>BUG-023</t>
  </si>
  <si>
    <t>The complete runtime screen confirms the dedicated back control is absent.</t>
  </si>
  <si>
    <t>CHK-GUI-043</t>
  </si>
  <si>
    <t>Verify Add to Cart produces immediate visible feedback</t>
  </si>
  <si>
    <t>Add to Cart is selected on FR-23 Product Detail</t>
  </si>
  <si>
    <t>The interface immediately presents a visible confirmation state instead of leaving the action ambiguous</t>
  </si>
  <si>
    <t>The after-action capture shows a success alert and the CTA label changed to 'Đã thêm'.</t>
  </si>
  <si>
    <t>Human review narrowed the timing assertion to the immediate state directly established by the still image.</t>
  </si>
  <si>
    <t>Observed in the supplied Mobile after-action capture; this item evaluates feedback visibility, while invalid-input correctness is evaluated separately by BUG-022.</t>
  </si>
  <si>
    <t>cross_platform/mobile_real_device/mobile_04_invalid_quantity_after.png</t>
  </si>
  <si>
    <t>CHK-GUI-044</t>
  </si>
  <si>
    <t>Verify Mobile Product Detail initializes quantity with a valid default value</t>
  </si>
  <si>
    <t>Open the detail screen for an existing product</t>
  </si>
  <si>
    <t>The quantity input displays the valid default value 1 before the user edits it</t>
  </si>
  <si>
    <t>The authentic Mobile Product Detail capture clearly shows the quantity input initialized to 1.</t>
  </si>
  <si>
    <t>The visible default quantity provides direct runtime evidence for this happy path.</t>
  </si>
  <si>
    <t>CHK-GUI-045</t>
  </si>
  <si>
    <t>Verify the displayed product price uses readable Vietnamese currency formatting</t>
  </si>
  <si>
    <t>FR-23 Product Detail is open for iPhone 15 Pro Max</t>
  </si>
  <si>
    <t>The price uses grouped digits and the đồng symbol without clipping or ambiguous decimals</t>
  </si>
  <si>
    <t>The captured detail screen displays '30.000.000 ₫' clearly below the product name.</t>
  </si>
  <si>
    <t>The AI-generated currency-format check was retained and confirmed against the supplied runtime capture.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</si>
</sst>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1F2937"/>
      <name val="Calibri"/>
    </font>
    <font>
      <sz val="12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/>
      <right/>
      <top/>
      <bottom style="thin">
        <color rgb="FFCBD5E1"/>
      </bottom>
      <diagonal/>
    </border>
  </borders>
  <cellStyleXfs count="2">
    <xf numFmtId="0" fontId="0" fillId="0" borderId="0"/>
    <xf numFmtId="0" fontId="3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vertical="top" wrapText="1"/>
    </xf>
    <xf numFmtId="0" fontId="0" fillId="4" borderId="0" xfId="0" applyFill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3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cross_platform/mobile_real_device/mobile_01_product_detail.png" TargetMode="External"/><Relationship Id="rId13" Type="http://schemas.openxmlformats.org/officeDocument/2006/relationships/hyperlink" Target="../bugs/evidence_images/bug_016_order_history_has_no_details.png" TargetMode="External"/><Relationship Id="rId18" Type="http://schemas.openxmlformats.org/officeDocument/2006/relationships/hyperlink" Target="../bugs/evidence_images/bug_019_admin_status_no_success_feedback.png" TargetMode="External"/><Relationship Id="rId26" Type="http://schemas.openxmlformats.org/officeDocument/2006/relationships/hyperlink" Target="../cross_platform/mobile_real_device/mobile_01_product_detail.png" TargetMode="External"/><Relationship Id="rId3" Type="http://schemas.openxmlformats.org/officeDocument/2006/relationships/hyperlink" Target="../bugs/evidence_images/bug_003_decimal_quantity_truncated.png" TargetMode="External"/><Relationship Id="rId21" Type="http://schemas.openxmlformats.org/officeDocument/2006/relationships/hyperlink" Target="../cross_platform/mobile_real_device/mobile_01_product_detail.png" TargetMode="External"/><Relationship Id="rId7" Type="http://schemas.openxmlformats.org/officeDocument/2006/relationships/hyperlink" Target="../cross_platform/mobile_real_device/mobile_02_valid_quantity_add.png" TargetMode="External"/><Relationship Id="rId12" Type="http://schemas.openxmlformats.org/officeDocument/2006/relationships/hyperlink" Target="../bugs/evidence_images/bug_012_valid_phone_rejected.png" TargetMode="External"/><Relationship Id="rId17" Type="http://schemas.openxmlformats.org/officeDocument/2006/relationships/hyperlink" Target="../bugs/evidence_images/bug_013_stored_html_injection.png" TargetMode="External"/><Relationship Id="rId25" Type="http://schemas.openxmlformats.org/officeDocument/2006/relationships/hyperlink" Target="../cross_platform/mobile_real_device/mobile_04_invalid_quantity_after.png" TargetMode="External"/><Relationship Id="rId2" Type="http://schemas.openxmlformats.org/officeDocument/2006/relationships/hyperlink" Target="../bugs/evidence_images/bug_002_negative_quantity.png" TargetMode="External"/><Relationship Id="rId16" Type="http://schemas.openxmlformats.org/officeDocument/2006/relationships/hyperlink" Target="../bugs/evidence_images/bug_014_admin_revenue_doubled.png" TargetMode="External"/><Relationship Id="rId20" Type="http://schemas.openxmlformats.org/officeDocument/2006/relationships/hyperlink" Target="../bugs/evidence_images/bug_018_admin_missing_loading_indicator.png" TargetMode="External"/><Relationship Id="rId1" Type="http://schemas.openxmlformats.org/officeDocument/2006/relationships/hyperlink" Target="../bugs/evidence_images/bug_001_first_click_cart_empty.png" TargetMode="External"/><Relationship Id="rId6" Type="http://schemas.openxmlformats.org/officeDocument/2006/relationships/hyperlink" Target="../cross_platform/mobile_real_device/mobile_01_product_detail.png" TargetMode="External"/><Relationship Id="rId11" Type="http://schemas.openxmlformats.org/officeDocument/2006/relationships/hyperlink" Target="../bugs/evidence_images/bug_015_percent_coupon_calculation.png" TargetMode="External"/><Relationship Id="rId24" Type="http://schemas.openxmlformats.org/officeDocument/2006/relationships/hyperlink" Target="../cross_platform/mobile_real_device/mobile_01_product_detail.png" TargetMode="External"/><Relationship Id="rId5" Type="http://schemas.openxmlformats.org/officeDocument/2006/relationships/hyperlink" Target="../bugs/evidence_images/bug_007_cart_retained_after_checkout.png" TargetMode="External"/><Relationship Id="rId15" Type="http://schemas.openxmlformats.org/officeDocument/2006/relationships/hyperlink" Target="../cross_platform/mobile_real_device/mobile_01_product_detail.png" TargetMode="External"/><Relationship Id="rId23" Type="http://schemas.openxmlformats.org/officeDocument/2006/relationships/hyperlink" Target="../cross_platform/mobile_real_device/mobile_03_invalid_quantity_before.png" TargetMode="External"/><Relationship Id="rId10" Type="http://schemas.openxmlformats.org/officeDocument/2006/relationships/hyperlink" Target="../bugs/evidence_images/bug_011_canceled_order_delivered.png" TargetMode="External"/><Relationship Id="rId19" Type="http://schemas.openxmlformats.org/officeDocument/2006/relationships/hyperlink" Target="../bugs/evidence_images/bug_017_admin_product_edit_corrupts_list.png" TargetMode="External"/><Relationship Id="rId4" Type="http://schemas.openxmlformats.org/officeDocument/2006/relationships/hyperlink" Target="../bugs/evidence_images/bug_006_editable_checkout_total.png" TargetMode="External"/><Relationship Id="rId9" Type="http://schemas.openxmlformats.org/officeDocument/2006/relationships/hyperlink" Target="../bugs/evidence_images/bug_010_shipping_order_canceled.png" TargetMode="External"/><Relationship Id="rId14" Type="http://schemas.openxmlformats.org/officeDocument/2006/relationships/hyperlink" Target="../cross_platform/mobile_real_device/mobile_02_valid_quantity_add.png" TargetMode="External"/><Relationship Id="rId22" Type="http://schemas.openxmlformats.org/officeDocument/2006/relationships/hyperlink" Target="../cross_platform/mobile_real_device/mobile_01_product_detail.png" TargetMode="External"/><Relationship Id="rId27" Type="http://schemas.openxmlformats.org/officeDocument/2006/relationships/hyperlink" Target="../cross_platform/mobile_real_device/mobile_01_product_detail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9"/>
  <sheetViews>
    <sheetView showGridLines="0" tabSelected="1" zoomScale="9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30" customWidth="1"/>
    <col min="2" max="2" width="88" customWidth="1"/>
  </cols>
  <sheetData>
    <row r="1" spans="1:2" ht="25.95" customHeight="1" x14ac:dyDescent="0.3">
      <c r="A1" s="5" t="s">
        <v>0</v>
      </c>
      <c r="B1" s="5" t="s">
        <v>1</v>
      </c>
    </row>
    <row r="2" spans="1:2" x14ac:dyDescent="0.3">
      <c r="A2" s="6" t="s">
        <v>2</v>
      </c>
      <c r="B2" s="6">
        <f>COUNTA('GUI Checklist'!A2:A46)</f>
        <v>45</v>
      </c>
    </row>
    <row r="3" spans="1:2" x14ac:dyDescent="0.3">
      <c r="A3" s="6" t="s">
        <v>3</v>
      </c>
      <c r="B3" s="6">
        <f>COUNTIF('GUI Checklist'!I2:I46,"Passed")+COUNTIF('GUI Checklist'!I2:I46,"Failed")</f>
        <v>45</v>
      </c>
    </row>
    <row r="4" spans="1:2" x14ac:dyDescent="0.3">
      <c r="A4" s="6" t="s">
        <v>4</v>
      </c>
      <c r="B4" s="6">
        <f>COUNTIF('GUI Checklist'!I2:I46,"Passed")</f>
        <v>25</v>
      </c>
    </row>
    <row r="5" spans="1:2" x14ac:dyDescent="0.3">
      <c r="A5" s="6" t="s">
        <v>5</v>
      </c>
      <c r="B5" s="6">
        <f>COUNTIF('GUI Checklist'!I2:I46,"Failed")</f>
        <v>20</v>
      </c>
    </row>
    <row r="6" spans="1:2" x14ac:dyDescent="0.3">
      <c r="A6" s="6" t="s">
        <v>6</v>
      </c>
      <c r="B6" s="6">
        <f>COUNTIF('GUI Checklist'!I2:I46,"Not Executed")</f>
        <v>0</v>
      </c>
    </row>
    <row r="7" spans="1:2" x14ac:dyDescent="0.3">
      <c r="A7" s="6" t="s">
        <v>7</v>
      </c>
      <c r="B7" s="6">
        <v>19</v>
      </c>
    </row>
    <row r="8" spans="1:2" x14ac:dyDescent="0.3">
      <c r="A8" s="6"/>
      <c r="B8" s="6"/>
    </row>
    <row r="9" spans="1:2" x14ac:dyDescent="0.3">
      <c r="A9" s="7" t="s">
        <v>8</v>
      </c>
      <c r="B9" s="7" t="s">
        <v>9</v>
      </c>
    </row>
    <row r="10" spans="1:2" x14ac:dyDescent="0.3">
      <c r="A10" s="6" t="s">
        <v>10</v>
      </c>
      <c r="B10" s="6">
        <f>COUNTIF('GUI Checklist'!B2:B46,"FR-07")</f>
        <v>9</v>
      </c>
    </row>
    <row r="11" spans="1:2" x14ac:dyDescent="0.3">
      <c r="A11" s="6" t="s">
        <v>11</v>
      </c>
      <c r="B11" s="6">
        <f>COUNTIF('GUI Checklist'!B2:B46,"FR-10")</f>
        <v>8</v>
      </c>
    </row>
    <row r="12" spans="1:2" x14ac:dyDescent="0.3">
      <c r="A12" s="6" t="s">
        <v>12</v>
      </c>
      <c r="B12" s="6">
        <f>COUNTIF('GUI Checklist'!B2:B46,"FR-11")</f>
        <v>6</v>
      </c>
    </row>
    <row r="13" spans="1:2" x14ac:dyDescent="0.3">
      <c r="A13" s="6" t="s">
        <v>13</v>
      </c>
      <c r="B13" s="6">
        <f>COUNTIF('GUI Checklist'!B2:B46,"FR-18")</f>
        <v>8</v>
      </c>
    </row>
    <row r="14" spans="1:2" x14ac:dyDescent="0.3">
      <c r="A14" s="6" t="s">
        <v>14</v>
      </c>
      <c r="B14" s="6">
        <f>COUNTIF('GUI Checklist'!B2:B46,"FR-23")</f>
        <v>14</v>
      </c>
    </row>
    <row r="15" spans="1:2" x14ac:dyDescent="0.3">
      <c r="A15" s="6"/>
      <c r="B15" s="6"/>
    </row>
    <row r="16" spans="1:2" x14ac:dyDescent="0.3">
      <c r="A16" s="7" t="s">
        <v>15</v>
      </c>
      <c r="B16" s="7" t="s">
        <v>9</v>
      </c>
    </row>
    <row r="17" spans="1:2" x14ac:dyDescent="0.3">
      <c r="A17" s="6" t="s">
        <v>16</v>
      </c>
      <c r="B17" s="6">
        <f>COUNTIF('GUI Checklist'!C2:C46,"IA-01 General UI")</f>
        <v>13</v>
      </c>
    </row>
    <row r="18" spans="1:2" x14ac:dyDescent="0.3">
      <c r="A18" s="6" t="s">
        <v>17</v>
      </c>
      <c r="B18" s="6">
        <f>COUNTIF('GUI Checklist'!C2:C46,"IA-02 Forms &amp; Validation")</f>
        <v>14</v>
      </c>
    </row>
    <row r="19" spans="1:2" x14ac:dyDescent="0.3">
      <c r="A19" s="6" t="s">
        <v>18</v>
      </c>
      <c r="B19" s="6">
        <f>COUNTIF('GUI Checklist'!C2:C46,"IA-03 Navigation")</f>
        <v>6</v>
      </c>
    </row>
    <row r="20" spans="1:2" x14ac:dyDescent="0.3">
      <c r="A20" s="6" t="s">
        <v>19</v>
      </c>
      <c r="B20" s="6">
        <f>COUNTIF('GUI Checklist'!C2:C46,"IA-04 Feedback &amp; State")</f>
        <v>12</v>
      </c>
    </row>
    <row r="21" spans="1:2" x14ac:dyDescent="0.3">
      <c r="A21" s="6"/>
      <c r="B21" s="6"/>
    </row>
    <row r="22" spans="1:2" x14ac:dyDescent="0.3">
      <c r="A22" s="7" t="s">
        <v>20</v>
      </c>
      <c r="B22" s="7" t="s">
        <v>9</v>
      </c>
    </row>
    <row r="23" spans="1:2" x14ac:dyDescent="0.3">
      <c r="A23" s="6" t="s">
        <v>21</v>
      </c>
      <c r="B23" s="6">
        <f>COUNTIF('GUI Checklist'!L2:L46,"AI")</f>
        <v>4</v>
      </c>
    </row>
    <row r="24" spans="1:2" x14ac:dyDescent="0.3">
      <c r="A24" s="6" t="s">
        <v>22</v>
      </c>
      <c r="B24" s="6">
        <f>COUNTIF('GUI Checklist'!L2:L46,"Human-added")</f>
        <v>17</v>
      </c>
    </row>
    <row r="25" spans="1:2" x14ac:dyDescent="0.3">
      <c r="A25" s="6" t="s">
        <v>23</v>
      </c>
      <c r="B25" s="6">
        <f>COUNTIF('GUI Checklist'!L2:L46,"Hybrid")</f>
        <v>24</v>
      </c>
    </row>
    <row r="26" spans="1:2" x14ac:dyDescent="0.3">
      <c r="A26" s="6"/>
      <c r="B26" s="6"/>
    </row>
    <row r="27" spans="1:2" x14ac:dyDescent="0.3">
      <c r="A27" s="6" t="s">
        <v>24</v>
      </c>
      <c r="B27" s="6" t="s">
        <v>25</v>
      </c>
    </row>
    <row r="28" spans="1:2" x14ac:dyDescent="0.3">
      <c r="A28" s="6" t="s">
        <v>26</v>
      </c>
      <c r="B28" s="6" t="s">
        <v>27</v>
      </c>
    </row>
    <row r="29" spans="1:2" ht="28.8" x14ac:dyDescent="0.3">
      <c r="A29" s="6" t="s">
        <v>28</v>
      </c>
      <c r="B29" s="6" t="s">
        <v>29</v>
      </c>
    </row>
  </sheetData>
  <autoFilter ref="A1:B29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46"/>
  <sheetViews>
    <sheetView showGridLines="0" zoomScale="8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3" customWidth="1"/>
    <col min="2" max="2" width="11" customWidth="1"/>
    <col min="3" max="4" width="26" customWidth="1"/>
    <col min="5" max="8" width="42" customWidth="1"/>
    <col min="9" max="9" width="11" customWidth="1"/>
    <col min="10" max="10" width="37" customWidth="1"/>
    <col min="11" max="11" width="11" customWidth="1"/>
    <col min="12" max="12" width="13" customWidth="1"/>
    <col min="13" max="15" width="42" customWidth="1"/>
  </cols>
  <sheetData>
    <row r="1" spans="1:15" ht="36" customHeight="1" x14ac:dyDescent="0.3">
      <c r="A1" s="1" t="s">
        <v>30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36</v>
      </c>
      <c r="H1" s="1" t="s">
        <v>37</v>
      </c>
      <c r="I1" s="1" t="s">
        <v>38</v>
      </c>
      <c r="J1" s="1" t="s">
        <v>39</v>
      </c>
      <c r="K1" s="1" t="s">
        <v>40</v>
      </c>
      <c r="L1" s="1" t="s">
        <v>41</v>
      </c>
      <c r="M1" s="1" t="s">
        <v>42</v>
      </c>
      <c r="N1" s="1" t="s">
        <v>43</v>
      </c>
      <c r="O1" s="1" t="s">
        <v>44</v>
      </c>
    </row>
    <row r="2" spans="1:15" ht="72" customHeight="1" x14ac:dyDescent="0.3">
      <c r="A2" s="2" t="s">
        <v>45</v>
      </c>
      <c r="B2" s="2" t="s">
        <v>10</v>
      </c>
      <c r="C2" s="2" t="s">
        <v>16</v>
      </c>
      <c r="D2" s="2" t="s">
        <v>46</v>
      </c>
      <c r="E2" s="2" t="s">
        <v>47</v>
      </c>
      <c r="F2" s="2" t="s">
        <v>48</v>
      </c>
      <c r="G2" s="2" t="s">
        <v>49</v>
      </c>
      <c r="H2" s="2" t="s">
        <v>50</v>
      </c>
      <c r="I2" s="3" t="s">
        <v>4</v>
      </c>
      <c r="J2" s="2" t="s">
        <v>51</v>
      </c>
      <c r="K2" s="2" t="s">
        <v>52</v>
      </c>
      <c r="L2" s="2" t="s">
        <v>23</v>
      </c>
      <c r="M2" s="2" t="s">
        <v>53</v>
      </c>
      <c r="N2" s="2" t="s">
        <v>54</v>
      </c>
      <c r="O2" s="2"/>
    </row>
    <row r="3" spans="1:15" ht="72" customHeight="1" x14ac:dyDescent="0.3">
      <c r="A3" s="2" t="s">
        <v>55</v>
      </c>
      <c r="B3" s="2" t="s">
        <v>10</v>
      </c>
      <c r="C3" s="2" t="s">
        <v>16</v>
      </c>
      <c r="D3" s="2" t="s">
        <v>56</v>
      </c>
      <c r="E3" s="2" t="s">
        <v>57</v>
      </c>
      <c r="F3" s="2" t="s">
        <v>58</v>
      </c>
      <c r="G3" s="2" t="s">
        <v>59</v>
      </c>
      <c r="H3" s="2" t="s">
        <v>60</v>
      </c>
      <c r="I3" s="4" t="s">
        <v>5</v>
      </c>
      <c r="J3" s="2" t="s">
        <v>51</v>
      </c>
      <c r="K3" s="2" t="s">
        <v>61</v>
      </c>
      <c r="L3" s="2" t="s">
        <v>22</v>
      </c>
      <c r="M3" s="2" t="s">
        <v>62</v>
      </c>
      <c r="N3" s="2" t="s">
        <v>63</v>
      </c>
      <c r="O3" s="8" t="s">
        <v>64</v>
      </c>
    </row>
    <row r="4" spans="1:15" ht="72" customHeight="1" x14ac:dyDescent="0.3">
      <c r="A4" s="2" t="s">
        <v>65</v>
      </c>
      <c r="B4" s="2" t="s">
        <v>10</v>
      </c>
      <c r="C4" s="2" t="s">
        <v>17</v>
      </c>
      <c r="D4" s="2" t="s">
        <v>46</v>
      </c>
      <c r="E4" s="2" t="s">
        <v>66</v>
      </c>
      <c r="F4" s="2" t="s">
        <v>67</v>
      </c>
      <c r="G4" s="2" t="s">
        <v>68</v>
      </c>
      <c r="H4" s="2" t="s">
        <v>69</v>
      </c>
      <c r="I4" s="4" t="s">
        <v>5</v>
      </c>
      <c r="J4" s="2" t="s">
        <v>51</v>
      </c>
      <c r="K4" s="2" t="s">
        <v>70</v>
      </c>
      <c r="L4" s="2" t="s">
        <v>22</v>
      </c>
      <c r="M4" s="2" t="s">
        <v>71</v>
      </c>
      <c r="N4" s="2" t="s">
        <v>72</v>
      </c>
      <c r="O4" s="8" t="s">
        <v>73</v>
      </c>
    </row>
    <row r="5" spans="1:15" ht="72" customHeight="1" x14ac:dyDescent="0.3">
      <c r="A5" s="2" t="s">
        <v>74</v>
      </c>
      <c r="B5" s="2" t="s">
        <v>10</v>
      </c>
      <c r="C5" s="2" t="s">
        <v>17</v>
      </c>
      <c r="D5" s="2" t="s">
        <v>46</v>
      </c>
      <c r="E5" s="2" t="s">
        <v>75</v>
      </c>
      <c r="F5" s="2" t="s">
        <v>67</v>
      </c>
      <c r="G5" s="2" t="s">
        <v>76</v>
      </c>
      <c r="H5" s="2" t="s">
        <v>77</v>
      </c>
      <c r="I5" s="4" t="s">
        <v>5</v>
      </c>
      <c r="J5" s="2" t="s">
        <v>51</v>
      </c>
      <c r="K5" s="2" t="s">
        <v>78</v>
      </c>
      <c r="L5" s="2" t="s">
        <v>22</v>
      </c>
      <c r="M5" s="2" t="s">
        <v>79</v>
      </c>
      <c r="N5" s="2" t="s">
        <v>80</v>
      </c>
      <c r="O5" s="8" t="s">
        <v>81</v>
      </c>
    </row>
    <row r="6" spans="1:15" ht="72" customHeight="1" x14ac:dyDescent="0.3">
      <c r="A6" s="2" t="s">
        <v>82</v>
      </c>
      <c r="B6" s="2" t="s">
        <v>10</v>
      </c>
      <c r="C6" s="2" t="s">
        <v>17</v>
      </c>
      <c r="D6" s="2" t="s">
        <v>83</v>
      </c>
      <c r="E6" s="2" t="s">
        <v>84</v>
      </c>
      <c r="F6" s="2" t="s">
        <v>85</v>
      </c>
      <c r="G6" s="2" t="s">
        <v>86</v>
      </c>
      <c r="H6" s="2" t="s">
        <v>87</v>
      </c>
      <c r="I6" s="4" t="s">
        <v>5</v>
      </c>
      <c r="J6" s="2" t="s">
        <v>51</v>
      </c>
      <c r="K6" s="2" t="s">
        <v>88</v>
      </c>
      <c r="L6" s="2" t="s">
        <v>22</v>
      </c>
      <c r="M6" s="2" t="s">
        <v>89</v>
      </c>
      <c r="N6" s="2" t="s">
        <v>90</v>
      </c>
      <c r="O6" s="8" t="s">
        <v>91</v>
      </c>
    </row>
    <row r="7" spans="1:15" ht="72" customHeight="1" x14ac:dyDescent="0.3">
      <c r="A7" s="2" t="s">
        <v>92</v>
      </c>
      <c r="B7" s="2" t="s">
        <v>10</v>
      </c>
      <c r="C7" s="2" t="s">
        <v>18</v>
      </c>
      <c r="D7" s="2" t="s">
        <v>46</v>
      </c>
      <c r="E7" s="2" t="s">
        <v>93</v>
      </c>
      <c r="F7" s="2" t="s">
        <v>94</v>
      </c>
      <c r="G7" s="2" t="s">
        <v>95</v>
      </c>
      <c r="H7" s="2" t="s">
        <v>96</v>
      </c>
      <c r="I7" s="3" t="s">
        <v>4</v>
      </c>
      <c r="J7" s="2" t="s">
        <v>51</v>
      </c>
      <c r="K7" s="2" t="s">
        <v>52</v>
      </c>
      <c r="L7" s="2" t="s">
        <v>23</v>
      </c>
      <c r="M7" s="2" t="s">
        <v>97</v>
      </c>
      <c r="N7" s="2" t="s">
        <v>54</v>
      </c>
      <c r="O7" s="2"/>
    </row>
    <row r="8" spans="1:15" ht="72" customHeight="1" x14ac:dyDescent="0.3">
      <c r="A8" s="2" t="s">
        <v>98</v>
      </c>
      <c r="B8" s="2" t="s">
        <v>10</v>
      </c>
      <c r="C8" s="2" t="s">
        <v>18</v>
      </c>
      <c r="D8" s="2" t="s">
        <v>83</v>
      </c>
      <c r="E8" s="2" t="s">
        <v>99</v>
      </c>
      <c r="F8" s="2" t="s">
        <v>100</v>
      </c>
      <c r="G8" s="2" t="s">
        <v>101</v>
      </c>
      <c r="H8" s="2" t="s">
        <v>102</v>
      </c>
      <c r="I8" s="3" t="s">
        <v>4</v>
      </c>
      <c r="J8" s="2" t="s">
        <v>51</v>
      </c>
      <c r="K8" s="2" t="s">
        <v>52</v>
      </c>
      <c r="L8" s="2" t="s">
        <v>23</v>
      </c>
      <c r="M8" s="2" t="s">
        <v>103</v>
      </c>
      <c r="N8" s="2" t="s">
        <v>54</v>
      </c>
      <c r="O8" s="2"/>
    </row>
    <row r="9" spans="1:15" ht="72" customHeight="1" x14ac:dyDescent="0.3">
      <c r="A9" s="2" t="s">
        <v>104</v>
      </c>
      <c r="B9" s="2" t="s">
        <v>10</v>
      </c>
      <c r="C9" s="2" t="s">
        <v>19</v>
      </c>
      <c r="D9" s="2" t="s">
        <v>46</v>
      </c>
      <c r="E9" s="2" t="s">
        <v>105</v>
      </c>
      <c r="F9" s="2" t="s">
        <v>106</v>
      </c>
      <c r="G9" s="2" t="s">
        <v>107</v>
      </c>
      <c r="H9" s="2" t="s">
        <v>108</v>
      </c>
      <c r="I9" s="3" t="s">
        <v>4</v>
      </c>
      <c r="J9" s="2" t="s">
        <v>51</v>
      </c>
      <c r="K9" s="2" t="s">
        <v>52</v>
      </c>
      <c r="L9" s="2" t="s">
        <v>23</v>
      </c>
      <c r="M9" s="2" t="s">
        <v>109</v>
      </c>
      <c r="N9" s="2" t="s">
        <v>54</v>
      </c>
      <c r="O9" s="2"/>
    </row>
    <row r="10" spans="1:15" ht="72" customHeight="1" x14ac:dyDescent="0.3">
      <c r="A10" s="2" t="s">
        <v>110</v>
      </c>
      <c r="B10" s="2" t="s">
        <v>10</v>
      </c>
      <c r="C10" s="2" t="s">
        <v>19</v>
      </c>
      <c r="D10" s="2" t="s">
        <v>111</v>
      </c>
      <c r="E10" s="2" t="s">
        <v>112</v>
      </c>
      <c r="F10" s="2" t="s">
        <v>113</v>
      </c>
      <c r="G10" s="2" t="s">
        <v>114</v>
      </c>
      <c r="H10" s="2" t="s">
        <v>115</v>
      </c>
      <c r="I10" s="4" t="s">
        <v>5</v>
      </c>
      <c r="J10" s="2" t="s">
        <v>51</v>
      </c>
      <c r="K10" s="2" t="s">
        <v>116</v>
      </c>
      <c r="L10" s="2" t="s">
        <v>22</v>
      </c>
      <c r="M10" s="2" t="s">
        <v>117</v>
      </c>
      <c r="N10" s="2" t="s">
        <v>118</v>
      </c>
      <c r="O10" s="8" t="s">
        <v>119</v>
      </c>
    </row>
    <row r="11" spans="1:15" ht="72" customHeight="1" x14ac:dyDescent="0.3">
      <c r="A11" s="2" t="s">
        <v>120</v>
      </c>
      <c r="B11" s="2" t="s">
        <v>14</v>
      </c>
      <c r="C11" s="2" t="s">
        <v>16</v>
      </c>
      <c r="D11" s="2" t="s">
        <v>121</v>
      </c>
      <c r="E11" s="2" t="s">
        <v>122</v>
      </c>
      <c r="F11" s="2" t="s">
        <v>123</v>
      </c>
      <c r="G11" s="2" t="s">
        <v>124</v>
      </c>
      <c r="H11" s="2" t="s">
        <v>125</v>
      </c>
      <c r="I11" s="3" t="s">
        <v>4</v>
      </c>
      <c r="J11" s="2" t="s">
        <v>126</v>
      </c>
      <c r="K11" s="2" t="s">
        <v>52</v>
      </c>
      <c r="L11" s="2" t="s">
        <v>23</v>
      </c>
      <c r="M11" s="2" t="s">
        <v>127</v>
      </c>
      <c r="N11" s="2" t="s">
        <v>128</v>
      </c>
      <c r="O11" s="8" t="s">
        <v>129</v>
      </c>
    </row>
    <row r="12" spans="1:15" ht="72" customHeight="1" x14ac:dyDescent="0.3">
      <c r="A12" s="2" t="s">
        <v>130</v>
      </c>
      <c r="B12" s="2" t="s">
        <v>14</v>
      </c>
      <c r="C12" s="2" t="s">
        <v>17</v>
      </c>
      <c r="D12" s="2" t="s">
        <v>121</v>
      </c>
      <c r="E12" s="2" t="s">
        <v>131</v>
      </c>
      <c r="F12" s="2" t="s">
        <v>132</v>
      </c>
      <c r="G12" s="2" t="s">
        <v>133</v>
      </c>
      <c r="H12" s="2" t="s">
        <v>134</v>
      </c>
      <c r="I12" s="3" t="s">
        <v>4</v>
      </c>
      <c r="J12" s="2" t="s">
        <v>126</v>
      </c>
      <c r="K12" s="2" t="s">
        <v>52</v>
      </c>
      <c r="L12" s="2" t="s">
        <v>23</v>
      </c>
      <c r="M12" s="2" t="s">
        <v>135</v>
      </c>
      <c r="N12" s="2" t="s">
        <v>128</v>
      </c>
      <c r="O12" s="8" t="s">
        <v>136</v>
      </c>
    </row>
    <row r="13" spans="1:15" ht="72" customHeight="1" x14ac:dyDescent="0.3">
      <c r="A13" s="2" t="s">
        <v>137</v>
      </c>
      <c r="B13" s="2" t="s">
        <v>14</v>
      </c>
      <c r="C13" s="2" t="s">
        <v>17</v>
      </c>
      <c r="D13" s="2" t="s">
        <v>121</v>
      </c>
      <c r="E13" s="2" t="s">
        <v>138</v>
      </c>
      <c r="F13" s="2" t="s">
        <v>139</v>
      </c>
      <c r="G13" s="2" t="s">
        <v>140</v>
      </c>
      <c r="H13" s="2" t="s">
        <v>141</v>
      </c>
      <c r="I13" s="4" t="s">
        <v>5</v>
      </c>
      <c r="J13" s="2" t="s">
        <v>142</v>
      </c>
      <c r="K13" s="2" t="s">
        <v>143</v>
      </c>
      <c r="L13" s="2" t="s">
        <v>22</v>
      </c>
      <c r="M13" s="2" t="s">
        <v>144</v>
      </c>
      <c r="N13" s="2" t="s">
        <v>145</v>
      </c>
      <c r="O13" s="2" t="s">
        <v>146</v>
      </c>
    </row>
    <row r="14" spans="1:15" ht="72" customHeight="1" x14ac:dyDescent="0.3">
      <c r="A14" s="2" t="s">
        <v>147</v>
      </c>
      <c r="B14" s="2" t="s">
        <v>14</v>
      </c>
      <c r="C14" s="2" t="s">
        <v>19</v>
      </c>
      <c r="D14" s="2" t="s">
        <v>121</v>
      </c>
      <c r="E14" s="2" t="s">
        <v>148</v>
      </c>
      <c r="F14" s="2" t="s">
        <v>149</v>
      </c>
      <c r="G14" s="2" t="s">
        <v>150</v>
      </c>
      <c r="H14" s="2" t="s">
        <v>151</v>
      </c>
      <c r="I14" s="3" t="s">
        <v>4</v>
      </c>
      <c r="J14" s="2" t="s">
        <v>142</v>
      </c>
      <c r="K14" s="2" t="s">
        <v>52</v>
      </c>
      <c r="L14" s="2" t="s">
        <v>21</v>
      </c>
      <c r="M14" s="2" t="s">
        <v>152</v>
      </c>
      <c r="N14" s="2" t="s">
        <v>153</v>
      </c>
      <c r="O14" s="8" t="s">
        <v>129</v>
      </c>
    </row>
    <row r="15" spans="1:15" ht="72" customHeight="1" x14ac:dyDescent="0.3">
      <c r="A15" s="2" t="s">
        <v>154</v>
      </c>
      <c r="B15" s="2" t="s">
        <v>11</v>
      </c>
      <c r="C15" s="2" t="s">
        <v>16</v>
      </c>
      <c r="D15" s="2" t="s">
        <v>155</v>
      </c>
      <c r="E15" s="2" t="s">
        <v>156</v>
      </c>
      <c r="F15" s="2" t="s">
        <v>157</v>
      </c>
      <c r="G15" s="2" t="s">
        <v>158</v>
      </c>
      <c r="H15" s="2" t="s">
        <v>159</v>
      </c>
      <c r="I15" s="3" t="s">
        <v>4</v>
      </c>
      <c r="J15" s="2" t="s">
        <v>51</v>
      </c>
      <c r="K15" s="2" t="s">
        <v>52</v>
      </c>
      <c r="L15" s="2" t="s">
        <v>23</v>
      </c>
      <c r="M15" s="2" t="s">
        <v>160</v>
      </c>
      <c r="N15" s="2" t="s">
        <v>54</v>
      </c>
      <c r="O15" s="2"/>
    </row>
    <row r="16" spans="1:15" ht="72" customHeight="1" x14ac:dyDescent="0.3">
      <c r="A16" s="2" t="s">
        <v>161</v>
      </c>
      <c r="B16" s="2" t="s">
        <v>11</v>
      </c>
      <c r="C16" s="2" t="s">
        <v>19</v>
      </c>
      <c r="D16" s="2" t="s">
        <v>155</v>
      </c>
      <c r="E16" s="2" t="s">
        <v>162</v>
      </c>
      <c r="F16" s="2" t="s">
        <v>163</v>
      </c>
      <c r="G16" s="2" t="s">
        <v>164</v>
      </c>
      <c r="H16" s="2" t="s">
        <v>165</v>
      </c>
      <c r="I16" s="3" t="s">
        <v>4</v>
      </c>
      <c r="J16" s="2" t="s">
        <v>51</v>
      </c>
      <c r="K16" s="2" t="s">
        <v>52</v>
      </c>
      <c r="L16" s="2" t="s">
        <v>23</v>
      </c>
      <c r="M16" s="2" t="s">
        <v>166</v>
      </c>
      <c r="N16" s="2" t="s">
        <v>54</v>
      </c>
      <c r="O16" s="2"/>
    </row>
    <row r="17" spans="1:15" ht="72" customHeight="1" x14ac:dyDescent="0.3">
      <c r="A17" s="2" t="s">
        <v>167</v>
      </c>
      <c r="B17" s="2" t="s">
        <v>11</v>
      </c>
      <c r="C17" s="2" t="s">
        <v>19</v>
      </c>
      <c r="D17" s="2" t="s">
        <v>155</v>
      </c>
      <c r="E17" s="2" t="s">
        <v>168</v>
      </c>
      <c r="F17" s="2" t="s">
        <v>169</v>
      </c>
      <c r="G17" s="2" t="s">
        <v>170</v>
      </c>
      <c r="H17" s="2" t="s">
        <v>171</v>
      </c>
      <c r="I17" s="4" t="s">
        <v>5</v>
      </c>
      <c r="J17" s="2" t="s">
        <v>51</v>
      </c>
      <c r="K17" s="2" t="s">
        <v>172</v>
      </c>
      <c r="L17" s="2" t="s">
        <v>22</v>
      </c>
      <c r="M17" s="2" t="s">
        <v>173</v>
      </c>
      <c r="N17" s="2" t="s">
        <v>174</v>
      </c>
      <c r="O17" s="8" t="s">
        <v>175</v>
      </c>
    </row>
    <row r="18" spans="1:15" ht="72" customHeight="1" x14ac:dyDescent="0.3">
      <c r="A18" s="2" t="s">
        <v>176</v>
      </c>
      <c r="B18" s="2" t="s">
        <v>11</v>
      </c>
      <c r="C18" s="2" t="s">
        <v>19</v>
      </c>
      <c r="D18" s="2" t="s">
        <v>155</v>
      </c>
      <c r="E18" s="2" t="s">
        <v>177</v>
      </c>
      <c r="F18" s="2" t="s">
        <v>178</v>
      </c>
      <c r="G18" s="2" t="s">
        <v>179</v>
      </c>
      <c r="H18" s="2" t="s">
        <v>180</v>
      </c>
      <c r="I18" s="4" t="s">
        <v>5</v>
      </c>
      <c r="J18" s="2" t="s">
        <v>51</v>
      </c>
      <c r="K18" s="2" t="s">
        <v>181</v>
      </c>
      <c r="L18" s="2" t="s">
        <v>22</v>
      </c>
      <c r="M18" s="2" t="s">
        <v>182</v>
      </c>
      <c r="N18" s="2" t="s">
        <v>183</v>
      </c>
      <c r="O18" s="8" t="s">
        <v>184</v>
      </c>
    </row>
    <row r="19" spans="1:15" ht="72" customHeight="1" x14ac:dyDescent="0.3">
      <c r="A19" s="2" t="s">
        <v>185</v>
      </c>
      <c r="B19" s="2" t="s">
        <v>11</v>
      </c>
      <c r="C19" s="2" t="s">
        <v>17</v>
      </c>
      <c r="D19" s="2" t="s">
        <v>83</v>
      </c>
      <c r="E19" s="2" t="s">
        <v>186</v>
      </c>
      <c r="F19" s="2" t="s">
        <v>187</v>
      </c>
      <c r="G19" s="2" t="s">
        <v>188</v>
      </c>
      <c r="H19" s="2" t="s">
        <v>189</v>
      </c>
      <c r="I19" s="4" t="s">
        <v>5</v>
      </c>
      <c r="J19" s="2" t="s">
        <v>51</v>
      </c>
      <c r="K19" s="2" t="s">
        <v>190</v>
      </c>
      <c r="L19" s="2" t="s">
        <v>22</v>
      </c>
      <c r="M19" s="2" t="s">
        <v>191</v>
      </c>
      <c r="N19" s="2" t="s">
        <v>192</v>
      </c>
      <c r="O19" s="8" t="s">
        <v>193</v>
      </c>
    </row>
    <row r="20" spans="1:15" ht="72" customHeight="1" x14ac:dyDescent="0.3">
      <c r="A20" s="2" t="s">
        <v>194</v>
      </c>
      <c r="B20" s="2" t="s">
        <v>11</v>
      </c>
      <c r="C20" s="2" t="s">
        <v>17</v>
      </c>
      <c r="D20" s="2" t="s">
        <v>83</v>
      </c>
      <c r="E20" s="2" t="s">
        <v>195</v>
      </c>
      <c r="F20" s="2" t="s">
        <v>196</v>
      </c>
      <c r="G20" s="2" t="s">
        <v>197</v>
      </c>
      <c r="H20" s="2" t="s">
        <v>198</v>
      </c>
      <c r="I20" s="3" t="s">
        <v>4</v>
      </c>
      <c r="J20" s="2" t="s">
        <v>51</v>
      </c>
      <c r="K20" s="2" t="s">
        <v>52</v>
      </c>
      <c r="L20" s="2" t="s">
        <v>23</v>
      </c>
      <c r="M20" s="2" t="s">
        <v>199</v>
      </c>
      <c r="N20" s="2" t="s">
        <v>54</v>
      </c>
      <c r="O20" s="2"/>
    </row>
    <row r="21" spans="1:15" ht="72" customHeight="1" x14ac:dyDescent="0.3">
      <c r="A21" s="2" t="s">
        <v>200</v>
      </c>
      <c r="B21" s="2" t="s">
        <v>11</v>
      </c>
      <c r="C21" s="2" t="s">
        <v>18</v>
      </c>
      <c r="D21" s="2" t="s">
        <v>83</v>
      </c>
      <c r="E21" s="2" t="s">
        <v>201</v>
      </c>
      <c r="F21" s="2" t="s">
        <v>202</v>
      </c>
      <c r="G21" s="2" t="s">
        <v>203</v>
      </c>
      <c r="H21" s="2" t="s">
        <v>204</v>
      </c>
      <c r="I21" s="3" t="s">
        <v>4</v>
      </c>
      <c r="J21" s="2" t="s">
        <v>51</v>
      </c>
      <c r="K21" s="2" t="s">
        <v>52</v>
      </c>
      <c r="L21" s="2" t="s">
        <v>23</v>
      </c>
      <c r="M21" s="2" t="s">
        <v>205</v>
      </c>
      <c r="N21" s="2" t="s">
        <v>54</v>
      </c>
      <c r="O21" s="2"/>
    </row>
    <row r="22" spans="1:15" ht="72" customHeight="1" x14ac:dyDescent="0.3">
      <c r="A22" s="2" t="s">
        <v>206</v>
      </c>
      <c r="B22" s="2" t="s">
        <v>11</v>
      </c>
      <c r="C22" s="2" t="s">
        <v>19</v>
      </c>
      <c r="D22" s="2" t="s">
        <v>155</v>
      </c>
      <c r="E22" s="2" t="s">
        <v>207</v>
      </c>
      <c r="F22" s="2" t="s">
        <v>208</v>
      </c>
      <c r="G22" s="2" t="s">
        <v>209</v>
      </c>
      <c r="H22" s="2" t="s">
        <v>210</v>
      </c>
      <c r="I22" s="3" t="s">
        <v>4</v>
      </c>
      <c r="J22" s="2" t="s">
        <v>51</v>
      </c>
      <c r="K22" s="2" t="s">
        <v>52</v>
      </c>
      <c r="L22" s="2" t="s">
        <v>23</v>
      </c>
      <c r="M22" s="2" t="s">
        <v>211</v>
      </c>
      <c r="N22" s="2" t="s">
        <v>54</v>
      </c>
      <c r="O22" s="2"/>
    </row>
    <row r="23" spans="1:15" ht="72" customHeight="1" x14ac:dyDescent="0.3">
      <c r="A23" s="2" t="s">
        <v>212</v>
      </c>
      <c r="B23" s="2" t="s">
        <v>12</v>
      </c>
      <c r="C23" s="2" t="s">
        <v>16</v>
      </c>
      <c r="D23" s="2" t="s">
        <v>213</v>
      </c>
      <c r="E23" s="2" t="s">
        <v>214</v>
      </c>
      <c r="F23" s="2" t="s">
        <v>215</v>
      </c>
      <c r="G23" s="2" t="s">
        <v>216</v>
      </c>
      <c r="H23" s="2" t="s">
        <v>217</v>
      </c>
      <c r="I23" s="3" t="s">
        <v>4</v>
      </c>
      <c r="J23" s="2" t="s">
        <v>51</v>
      </c>
      <c r="K23" s="2" t="s">
        <v>52</v>
      </c>
      <c r="L23" s="2" t="s">
        <v>23</v>
      </c>
      <c r="M23" s="2" t="s">
        <v>218</v>
      </c>
      <c r="N23" s="2" t="s">
        <v>54</v>
      </c>
      <c r="O23" s="2"/>
    </row>
    <row r="24" spans="1:15" ht="72" customHeight="1" x14ac:dyDescent="0.3">
      <c r="A24" s="2" t="s">
        <v>219</v>
      </c>
      <c r="B24" s="2" t="s">
        <v>12</v>
      </c>
      <c r="C24" s="2" t="s">
        <v>16</v>
      </c>
      <c r="D24" s="2" t="s">
        <v>213</v>
      </c>
      <c r="E24" s="2" t="s">
        <v>220</v>
      </c>
      <c r="F24" s="2" t="s">
        <v>221</v>
      </c>
      <c r="G24" s="2" t="s">
        <v>222</v>
      </c>
      <c r="H24" s="2" t="s">
        <v>223</v>
      </c>
      <c r="I24" s="3" t="s">
        <v>4</v>
      </c>
      <c r="J24" s="2" t="s">
        <v>51</v>
      </c>
      <c r="K24" s="2" t="s">
        <v>52</v>
      </c>
      <c r="L24" s="2" t="s">
        <v>23</v>
      </c>
      <c r="M24" s="2" t="s">
        <v>224</v>
      </c>
      <c r="N24" s="2" t="s">
        <v>54</v>
      </c>
      <c r="O24" s="2"/>
    </row>
    <row r="25" spans="1:15" ht="72" customHeight="1" x14ac:dyDescent="0.3">
      <c r="A25" s="2" t="s">
        <v>225</v>
      </c>
      <c r="B25" s="2" t="s">
        <v>12</v>
      </c>
      <c r="C25" s="2" t="s">
        <v>17</v>
      </c>
      <c r="D25" s="2" t="s">
        <v>226</v>
      </c>
      <c r="E25" s="2" t="s">
        <v>227</v>
      </c>
      <c r="F25" s="2" t="s">
        <v>228</v>
      </c>
      <c r="G25" s="2" t="s">
        <v>229</v>
      </c>
      <c r="H25" s="2" t="s">
        <v>230</v>
      </c>
      <c r="I25" s="4" t="s">
        <v>5</v>
      </c>
      <c r="J25" s="2" t="s">
        <v>51</v>
      </c>
      <c r="K25" s="2" t="s">
        <v>231</v>
      </c>
      <c r="L25" s="2" t="s">
        <v>22</v>
      </c>
      <c r="M25" s="2" t="s">
        <v>232</v>
      </c>
      <c r="N25" s="2" t="s">
        <v>233</v>
      </c>
      <c r="O25" s="8" t="s">
        <v>234</v>
      </c>
    </row>
    <row r="26" spans="1:15" ht="72" customHeight="1" x14ac:dyDescent="0.3">
      <c r="A26" s="2" t="s">
        <v>235</v>
      </c>
      <c r="B26" s="2" t="s">
        <v>12</v>
      </c>
      <c r="C26" s="2" t="s">
        <v>17</v>
      </c>
      <c r="D26" s="2" t="s">
        <v>226</v>
      </c>
      <c r="E26" s="2" t="s">
        <v>236</v>
      </c>
      <c r="F26" s="2" t="s">
        <v>237</v>
      </c>
      <c r="G26" s="2" t="s">
        <v>238</v>
      </c>
      <c r="H26" s="2" t="s">
        <v>239</v>
      </c>
      <c r="I26" s="3" t="s">
        <v>4</v>
      </c>
      <c r="J26" s="2" t="s">
        <v>51</v>
      </c>
      <c r="K26" s="2" t="s">
        <v>52</v>
      </c>
      <c r="L26" s="2" t="s">
        <v>23</v>
      </c>
      <c r="M26" s="2" t="s">
        <v>240</v>
      </c>
      <c r="N26" s="2" t="s">
        <v>54</v>
      </c>
      <c r="O26" s="2"/>
    </row>
    <row r="27" spans="1:15" ht="72" customHeight="1" x14ac:dyDescent="0.3">
      <c r="A27" s="2" t="s">
        <v>241</v>
      </c>
      <c r="B27" s="2" t="s">
        <v>12</v>
      </c>
      <c r="C27" s="2" t="s">
        <v>18</v>
      </c>
      <c r="D27" s="2" t="s">
        <v>213</v>
      </c>
      <c r="E27" s="2" t="s">
        <v>242</v>
      </c>
      <c r="F27" s="2" t="s">
        <v>243</v>
      </c>
      <c r="G27" s="2" t="s">
        <v>244</v>
      </c>
      <c r="H27" s="2" t="s">
        <v>245</v>
      </c>
      <c r="I27" s="4" t="s">
        <v>5</v>
      </c>
      <c r="J27" s="2" t="s">
        <v>51</v>
      </c>
      <c r="K27" s="2" t="s">
        <v>246</v>
      </c>
      <c r="L27" s="2" t="s">
        <v>22</v>
      </c>
      <c r="M27" s="2" t="s">
        <v>247</v>
      </c>
      <c r="N27" s="2" t="s">
        <v>248</v>
      </c>
      <c r="O27" s="8" t="s">
        <v>249</v>
      </c>
    </row>
    <row r="28" spans="1:15" ht="72" customHeight="1" x14ac:dyDescent="0.3">
      <c r="A28" s="2" t="s">
        <v>250</v>
      </c>
      <c r="B28" s="2" t="s">
        <v>12</v>
      </c>
      <c r="C28" s="2" t="s">
        <v>19</v>
      </c>
      <c r="D28" s="2" t="s">
        <v>213</v>
      </c>
      <c r="E28" s="2" t="s">
        <v>251</v>
      </c>
      <c r="F28" s="2" t="s">
        <v>252</v>
      </c>
      <c r="G28" s="2" t="s">
        <v>253</v>
      </c>
      <c r="H28" s="2" t="s">
        <v>254</v>
      </c>
      <c r="I28" s="3" t="s">
        <v>4</v>
      </c>
      <c r="J28" s="2" t="s">
        <v>51</v>
      </c>
      <c r="K28" s="2" t="s">
        <v>52</v>
      </c>
      <c r="L28" s="2" t="s">
        <v>23</v>
      </c>
      <c r="M28" s="2" t="s">
        <v>255</v>
      </c>
      <c r="N28" s="2" t="s">
        <v>54</v>
      </c>
      <c r="O28" s="2"/>
    </row>
    <row r="29" spans="1:15" ht="72" customHeight="1" x14ac:dyDescent="0.3">
      <c r="A29" s="2" t="s">
        <v>256</v>
      </c>
      <c r="B29" s="2" t="s">
        <v>14</v>
      </c>
      <c r="C29" s="2" t="s">
        <v>19</v>
      </c>
      <c r="D29" s="2" t="s">
        <v>257</v>
      </c>
      <c r="E29" s="2" t="s">
        <v>258</v>
      </c>
      <c r="F29" s="2" t="s">
        <v>259</v>
      </c>
      <c r="G29" s="2" t="s">
        <v>260</v>
      </c>
      <c r="H29" s="2" t="s">
        <v>261</v>
      </c>
      <c r="I29" s="3" t="s">
        <v>4</v>
      </c>
      <c r="J29" s="2" t="s">
        <v>142</v>
      </c>
      <c r="K29" s="2" t="s">
        <v>52</v>
      </c>
      <c r="L29" s="2" t="s">
        <v>21</v>
      </c>
      <c r="M29" s="2" t="s">
        <v>262</v>
      </c>
      <c r="N29" s="2" t="s">
        <v>263</v>
      </c>
      <c r="O29" s="8" t="s">
        <v>136</v>
      </c>
    </row>
    <row r="30" spans="1:15" ht="72" customHeight="1" x14ac:dyDescent="0.3">
      <c r="A30" s="2" t="s">
        <v>264</v>
      </c>
      <c r="B30" s="2" t="s">
        <v>14</v>
      </c>
      <c r="C30" s="2" t="s">
        <v>16</v>
      </c>
      <c r="D30" s="2" t="s">
        <v>121</v>
      </c>
      <c r="E30" s="2" t="s">
        <v>265</v>
      </c>
      <c r="F30" s="2" t="s">
        <v>266</v>
      </c>
      <c r="G30" s="2" t="s">
        <v>267</v>
      </c>
      <c r="H30" s="2" t="s">
        <v>268</v>
      </c>
      <c r="I30" s="3" t="s">
        <v>4</v>
      </c>
      <c r="J30" s="2" t="s">
        <v>142</v>
      </c>
      <c r="K30" s="2" t="s">
        <v>52</v>
      </c>
      <c r="L30" s="2" t="s">
        <v>23</v>
      </c>
      <c r="M30" s="2" t="s">
        <v>269</v>
      </c>
      <c r="N30" s="2" t="s">
        <v>153</v>
      </c>
      <c r="O30" s="8" t="s">
        <v>129</v>
      </c>
    </row>
    <row r="31" spans="1:15" ht="72" customHeight="1" x14ac:dyDescent="0.3">
      <c r="A31" s="2" t="s">
        <v>270</v>
      </c>
      <c r="B31" s="2" t="s">
        <v>13</v>
      </c>
      <c r="C31" s="2" t="s">
        <v>16</v>
      </c>
      <c r="D31" s="2" t="s">
        <v>271</v>
      </c>
      <c r="E31" s="2" t="s">
        <v>272</v>
      </c>
      <c r="F31" s="2" t="s">
        <v>273</v>
      </c>
      <c r="G31" s="2" t="s">
        <v>274</v>
      </c>
      <c r="H31" s="2" t="s">
        <v>275</v>
      </c>
      <c r="I31" s="3" t="s">
        <v>4</v>
      </c>
      <c r="J31" s="2" t="s">
        <v>51</v>
      </c>
      <c r="K31" s="2" t="s">
        <v>52</v>
      </c>
      <c r="L31" s="2" t="s">
        <v>23</v>
      </c>
      <c r="M31" s="2" t="s">
        <v>276</v>
      </c>
      <c r="N31" s="2" t="s">
        <v>54</v>
      </c>
      <c r="O31" s="2"/>
    </row>
    <row r="32" spans="1:15" ht="72" customHeight="1" x14ac:dyDescent="0.3">
      <c r="A32" s="2" t="s">
        <v>277</v>
      </c>
      <c r="B32" s="2" t="s">
        <v>13</v>
      </c>
      <c r="C32" s="2" t="s">
        <v>16</v>
      </c>
      <c r="D32" s="2" t="s">
        <v>271</v>
      </c>
      <c r="E32" s="2" t="s">
        <v>278</v>
      </c>
      <c r="F32" s="2" t="s">
        <v>279</v>
      </c>
      <c r="G32" s="2" t="s">
        <v>280</v>
      </c>
      <c r="H32" s="2" t="s">
        <v>281</v>
      </c>
      <c r="I32" s="4" t="s">
        <v>5</v>
      </c>
      <c r="J32" s="2" t="s">
        <v>51</v>
      </c>
      <c r="K32" s="2" t="s">
        <v>282</v>
      </c>
      <c r="L32" s="2" t="s">
        <v>22</v>
      </c>
      <c r="M32" s="2" t="s">
        <v>283</v>
      </c>
      <c r="N32" s="2" t="s">
        <v>284</v>
      </c>
      <c r="O32" s="8" t="s">
        <v>285</v>
      </c>
    </row>
    <row r="33" spans="1:15" ht="72" customHeight="1" x14ac:dyDescent="0.3">
      <c r="A33" s="2" t="s">
        <v>286</v>
      </c>
      <c r="B33" s="2" t="s">
        <v>13</v>
      </c>
      <c r="C33" s="2" t="s">
        <v>16</v>
      </c>
      <c r="D33" s="2" t="s">
        <v>287</v>
      </c>
      <c r="E33" s="2" t="s">
        <v>288</v>
      </c>
      <c r="F33" s="2" t="s">
        <v>289</v>
      </c>
      <c r="G33" s="2" t="s">
        <v>290</v>
      </c>
      <c r="H33" s="2" t="s">
        <v>291</v>
      </c>
      <c r="I33" s="4" t="s">
        <v>5</v>
      </c>
      <c r="J33" s="2" t="s">
        <v>51</v>
      </c>
      <c r="K33" s="2" t="s">
        <v>292</v>
      </c>
      <c r="L33" s="2" t="s">
        <v>22</v>
      </c>
      <c r="M33" s="2" t="s">
        <v>293</v>
      </c>
      <c r="N33" s="2" t="s">
        <v>294</v>
      </c>
      <c r="O33" s="8" t="s">
        <v>295</v>
      </c>
    </row>
    <row r="34" spans="1:15" ht="72" customHeight="1" x14ac:dyDescent="0.3">
      <c r="A34" s="2" t="s">
        <v>296</v>
      </c>
      <c r="B34" s="2" t="s">
        <v>13</v>
      </c>
      <c r="C34" s="2" t="s">
        <v>17</v>
      </c>
      <c r="D34" s="2" t="s">
        <v>287</v>
      </c>
      <c r="E34" s="2" t="s">
        <v>297</v>
      </c>
      <c r="F34" s="2" t="s">
        <v>298</v>
      </c>
      <c r="G34" s="2" t="s">
        <v>299</v>
      </c>
      <c r="H34" s="2" t="s">
        <v>300</v>
      </c>
      <c r="I34" s="3" t="s">
        <v>4</v>
      </c>
      <c r="J34" s="2" t="s">
        <v>51</v>
      </c>
      <c r="K34" s="2" t="s">
        <v>52</v>
      </c>
      <c r="L34" s="2" t="s">
        <v>23</v>
      </c>
      <c r="M34" s="2" t="s">
        <v>301</v>
      </c>
      <c r="N34" s="2" t="s">
        <v>54</v>
      </c>
      <c r="O34" s="2"/>
    </row>
    <row r="35" spans="1:15" ht="72" customHeight="1" x14ac:dyDescent="0.3">
      <c r="A35" s="2" t="s">
        <v>302</v>
      </c>
      <c r="B35" s="2" t="s">
        <v>13</v>
      </c>
      <c r="C35" s="2" t="s">
        <v>18</v>
      </c>
      <c r="D35" s="2" t="s">
        <v>303</v>
      </c>
      <c r="E35" s="2" t="s">
        <v>304</v>
      </c>
      <c r="F35" s="2" t="s">
        <v>305</v>
      </c>
      <c r="G35" s="2" t="s">
        <v>306</v>
      </c>
      <c r="H35" s="2" t="s">
        <v>307</v>
      </c>
      <c r="I35" s="3" t="s">
        <v>4</v>
      </c>
      <c r="J35" s="2" t="s">
        <v>51</v>
      </c>
      <c r="K35" s="2" t="s">
        <v>52</v>
      </c>
      <c r="L35" s="2" t="s">
        <v>23</v>
      </c>
      <c r="M35" s="2" t="s">
        <v>308</v>
      </c>
      <c r="N35" s="2" t="s">
        <v>54</v>
      </c>
      <c r="O35" s="2"/>
    </row>
    <row r="36" spans="1:15" ht="72" customHeight="1" x14ac:dyDescent="0.3">
      <c r="A36" s="2" t="s">
        <v>309</v>
      </c>
      <c r="B36" s="2" t="s">
        <v>13</v>
      </c>
      <c r="C36" s="2" t="s">
        <v>19</v>
      </c>
      <c r="D36" s="2" t="s">
        <v>287</v>
      </c>
      <c r="E36" s="2" t="s">
        <v>310</v>
      </c>
      <c r="F36" s="2" t="s">
        <v>311</v>
      </c>
      <c r="G36" s="2" t="s">
        <v>312</v>
      </c>
      <c r="H36" s="2" t="s">
        <v>313</v>
      </c>
      <c r="I36" s="4" t="s">
        <v>5</v>
      </c>
      <c r="J36" s="2" t="s">
        <v>51</v>
      </c>
      <c r="K36" s="2" t="s">
        <v>314</v>
      </c>
      <c r="L36" s="2" t="s">
        <v>22</v>
      </c>
      <c r="M36" s="2" t="s">
        <v>315</v>
      </c>
      <c r="N36" s="2" t="s">
        <v>316</v>
      </c>
      <c r="O36" s="8" t="s">
        <v>317</v>
      </c>
    </row>
    <row r="37" spans="1:15" ht="72" customHeight="1" x14ac:dyDescent="0.3">
      <c r="A37" s="2" t="s">
        <v>318</v>
      </c>
      <c r="B37" s="2" t="s">
        <v>13</v>
      </c>
      <c r="C37" s="2" t="s">
        <v>17</v>
      </c>
      <c r="D37" s="2" t="s">
        <v>319</v>
      </c>
      <c r="E37" s="2" t="s">
        <v>320</v>
      </c>
      <c r="F37" s="2" t="s">
        <v>321</v>
      </c>
      <c r="G37" s="2" t="s">
        <v>322</v>
      </c>
      <c r="H37" s="2" t="s">
        <v>323</v>
      </c>
      <c r="I37" s="4" t="s">
        <v>5</v>
      </c>
      <c r="J37" s="2" t="s">
        <v>51</v>
      </c>
      <c r="K37" s="2" t="s">
        <v>324</v>
      </c>
      <c r="L37" s="2" t="s">
        <v>22</v>
      </c>
      <c r="M37" s="2" t="s">
        <v>325</v>
      </c>
      <c r="N37" s="2" t="s">
        <v>326</v>
      </c>
      <c r="O37" s="8" t="s">
        <v>327</v>
      </c>
    </row>
    <row r="38" spans="1:15" ht="72" customHeight="1" x14ac:dyDescent="0.3">
      <c r="A38" s="2" t="s">
        <v>328</v>
      </c>
      <c r="B38" s="2" t="s">
        <v>13</v>
      </c>
      <c r="C38" s="2" t="s">
        <v>19</v>
      </c>
      <c r="D38" s="2" t="s">
        <v>287</v>
      </c>
      <c r="E38" s="2" t="s">
        <v>329</v>
      </c>
      <c r="F38" s="2" t="s">
        <v>330</v>
      </c>
      <c r="G38" s="2" t="s">
        <v>331</v>
      </c>
      <c r="H38" s="2" t="s">
        <v>332</v>
      </c>
      <c r="I38" s="4" t="s">
        <v>5</v>
      </c>
      <c r="J38" s="2" t="s">
        <v>51</v>
      </c>
      <c r="K38" s="2" t="s">
        <v>333</v>
      </c>
      <c r="L38" s="2" t="s">
        <v>22</v>
      </c>
      <c r="M38" s="2" t="s">
        <v>334</v>
      </c>
      <c r="N38" s="2" t="s">
        <v>335</v>
      </c>
      <c r="O38" s="8" t="s">
        <v>336</v>
      </c>
    </row>
    <row r="39" spans="1:15" ht="72" customHeight="1" x14ac:dyDescent="0.3">
      <c r="A39" s="2" t="s">
        <v>337</v>
      </c>
      <c r="B39" s="2" t="s">
        <v>14</v>
      </c>
      <c r="C39" s="2" t="s">
        <v>16</v>
      </c>
      <c r="D39" s="2" t="s">
        <v>121</v>
      </c>
      <c r="E39" s="2" t="s">
        <v>338</v>
      </c>
      <c r="F39" s="2" t="s">
        <v>339</v>
      </c>
      <c r="G39" s="2" t="s">
        <v>340</v>
      </c>
      <c r="H39" s="2" t="s">
        <v>341</v>
      </c>
      <c r="I39" s="4" t="s">
        <v>5</v>
      </c>
      <c r="J39" s="2" t="s">
        <v>126</v>
      </c>
      <c r="K39" s="2" t="s">
        <v>342</v>
      </c>
      <c r="L39" s="2" t="s">
        <v>23</v>
      </c>
      <c r="M39" s="2" t="s">
        <v>343</v>
      </c>
      <c r="N39" s="2" t="s">
        <v>128</v>
      </c>
      <c r="O39" s="8" t="s">
        <v>129</v>
      </c>
    </row>
    <row r="40" spans="1:15" ht="72" customHeight="1" x14ac:dyDescent="0.3">
      <c r="A40" s="2" t="s">
        <v>344</v>
      </c>
      <c r="B40" s="2" t="s">
        <v>14</v>
      </c>
      <c r="C40" s="2" t="s">
        <v>16</v>
      </c>
      <c r="D40" s="2" t="s">
        <v>121</v>
      </c>
      <c r="E40" s="2" t="s">
        <v>345</v>
      </c>
      <c r="F40" s="2" t="s">
        <v>346</v>
      </c>
      <c r="G40" s="2" t="s">
        <v>347</v>
      </c>
      <c r="H40" s="2" t="s">
        <v>348</v>
      </c>
      <c r="I40" s="4" t="s">
        <v>5</v>
      </c>
      <c r="J40" s="2" t="s">
        <v>126</v>
      </c>
      <c r="K40" s="2" t="s">
        <v>349</v>
      </c>
      <c r="L40" s="2" t="s">
        <v>23</v>
      </c>
      <c r="M40" s="2" t="s">
        <v>350</v>
      </c>
      <c r="N40" s="2" t="s">
        <v>128</v>
      </c>
      <c r="O40" s="8" t="s">
        <v>129</v>
      </c>
    </row>
    <row r="41" spans="1:15" ht="72" customHeight="1" x14ac:dyDescent="0.3">
      <c r="A41" s="2" t="s">
        <v>351</v>
      </c>
      <c r="B41" s="2" t="s">
        <v>14</v>
      </c>
      <c r="C41" s="2" t="s">
        <v>17</v>
      </c>
      <c r="D41" s="2" t="s">
        <v>121</v>
      </c>
      <c r="E41" s="2" t="s">
        <v>352</v>
      </c>
      <c r="F41" s="2" t="s">
        <v>353</v>
      </c>
      <c r="G41" s="2" t="s">
        <v>354</v>
      </c>
      <c r="H41" s="2" t="s">
        <v>355</v>
      </c>
      <c r="I41" s="3" t="s">
        <v>4</v>
      </c>
      <c r="J41" s="2" t="s">
        <v>142</v>
      </c>
      <c r="K41" s="2" t="s">
        <v>52</v>
      </c>
      <c r="L41" s="2" t="s">
        <v>21</v>
      </c>
      <c r="M41" s="2" t="s">
        <v>356</v>
      </c>
      <c r="N41" s="2" t="s">
        <v>357</v>
      </c>
      <c r="O41" s="8" t="s">
        <v>358</v>
      </c>
    </row>
    <row r="42" spans="1:15" ht="72" customHeight="1" x14ac:dyDescent="0.3">
      <c r="A42" s="2" t="s">
        <v>359</v>
      </c>
      <c r="B42" s="2" t="s">
        <v>14</v>
      </c>
      <c r="C42" s="2" t="s">
        <v>17</v>
      </c>
      <c r="D42" s="2" t="s">
        <v>121</v>
      </c>
      <c r="E42" s="2" t="s">
        <v>360</v>
      </c>
      <c r="F42" s="2" t="s">
        <v>361</v>
      </c>
      <c r="G42" s="2" t="s">
        <v>362</v>
      </c>
      <c r="H42" s="2" t="s">
        <v>363</v>
      </c>
      <c r="I42" s="4" t="s">
        <v>5</v>
      </c>
      <c r="J42" s="2" t="s">
        <v>142</v>
      </c>
      <c r="K42" s="2" t="s">
        <v>143</v>
      </c>
      <c r="L42" s="2" t="s">
        <v>22</v>
      </c>
      <c r="M42" s="2" t="s">
        <v>364</v>
      </c>
      <c r="N42" s="2" t="s">
        <v>145</v>
      </c>
      <c r="O42" s="2" t="s">
        <v>146</v>
      </c>
    </row>
    <row r="43" spans="1:15" ht="72" customHeight="1" x14ac:dyDescent="0.3">
      <c r="A43" s="2" t="s">
        <v>365</v>
      </c>
      <c r="B43" s="2" t="s">
        <v>14</v>
      </c>
      <c r="C43" s="2" t="s">
        <v>18</v>
      </c>
      <c r="D43" s="2" t="s">
        <v>121</v>
      </c>
      <c r="E43" s="2" t="s">
        <v>366</v>
      </c>
      <c r="F43" s="2" t="s">
        <v>367</v>
      </c>
      <c r="G43" s="2" t="s">
        <v>368</v>
      </c>
      <c r="H43" s="2" t="s">
        <v>369</v>
      </c>
      <c r="I43" s="4" t="s">
        <v>5</v>
      </c>
      <c r="J43" s="2" t="s">
        <v>126</v>
      </c>
      <c r="K43" s="2" t="s">
        <v>370</v>
      </c>
      <c r="L43" s="2" t="s">
        <v>23</v>
      </c>
      <c r="M43" s="2" t="s">
        <v>371</v>
      </c>
      <c r="N43" s="2" t="s">
        <v>128</v>
      </c>
      <c r="O43" s="8" t="s">
        <v>129</v>
      </c>
    </row>
    <row r="44" spans="1:15" ht="72" customHeight="1" x14ac:dyDescent="0.3">
      <c r="A44" s="2" t="s">
        <v>372</v>
      </c>
      <c r="B44" s="2" t="s">
        <v>14</v>
      </c>
      <c r="C44" s="2" t="s">
        <v>19</v>
      </c>
      <c r="D44" s="2" t="s">
        <v>121</v>
      </c>
      <c r="E44" s="2" t="s">
        <v>373</v>
      </c>
      <c r="F44" s="2" t="s">
        <v>374</v>
      </c>
      <c r="G44" s="2" t="s">
        <v>375</v>
      </c>
      <c r="H44" s="2" t="s">
        <v>376</v>
      </c>
      <c r="I44" s="3" t="s">
        <v>4</v>
      </c>
      <c r="J44" s="2" t="s">
        <v>142</v>
      </c>
      <c r="K44" s="2" t="s">
        <v>52</v>
      </c>
      <c r="L44" s="2" t="s">
        <v>23</v>
      </c>
      <c r="M44" s="2" t="s">
        <v>377</v>
      </c>
      <c r="N44" s="2" t="s">
        <v>378</v>
      </c>
      <c r="O44" s="8" t="s">
        <v>379</v>
      </c>
    </row>
    <row r="45" spans="1:15" ht="72" customHeight="1" x14ac:dyDescent="0.3">
      <c r="A45" s="2" t="s">
        <v>380</v>
      </c>
      <c r="B45" s="2" t="s">
        <v>14</v>
      </c>
      <c r="C45" s="2" t="s">
        <v>17</v>
      </c>
      <c r="D45" s="2" t="s">
        <v>121</v>
      </c>
      <c r="E45" s="2" t="s">
        <v>381</v>
      </c>
      <c r="F45" s="2" t="s">
        <v>382</v>
      </c>
      <c r="G45" s="2" t="s">
        <v>383</v>
      </c>
      <c r="H45" s="2" t="s">
        <v>384</v>
      </c>
      <c r="I45" s="3" t="s">
        <v>4</v>
      </c>
      <c r="J45" s="2" t="s">
        <v>126</v>
      </c>
      <c r="K45" s="2" t="s">
        <v>52</v>
      </c>
      <c r="L45" s="2" t="s">
        <v>23</v>
      </c>
      <c r="M45" s="2" t="s">
        <v>385</v>
      </c>
      <c r="N45" s="2" t="s">
        <v>128</v>
      </c>
      <c r="O45" s="8" t="s">
        <v>129</v>
      </c>
    </row>
    <row r="46" spans="1:15" ht="72" customHeight="1" x14ac:dyDescent="0.3">
      <c r="A46" s="2" t="s">
        <v>386</v>
      </c>
      <c r="B46" s="2" t="s">
        <v>14</v>
      </c>
      <c r="C46" s="2" t="s">
        <v>16</v>
      </c>
      <c r="D46" s="2" t="s">
        <v>121</v>
      </c>
      <c r="E46" s="2" t="s">
        <v>387</v>
      </c>
      <c r="F46" s="2" t="s">
        <v>388</v>
      </c>
      <c r="G46" s="2" t="s">
        <v>389</v>
      </c>
      <c r="H46" s="2" t="s">
        <v>390</v>
      </c>
      <c r="I46" s="3" t="s">
        <v>4</v>
      </c>
      <c r="J46" s="2" t="s">
        <v>142</v>
      </c>
      <c r="K46" s="2" t="s">
        <v>52</v>
      </c>
      <c r="L46" s="2" t="s">
        <v>21</v>
      </c>
      <c r="M46" s="2" t="s">
        <v>391</v>
      </c>
      <c r="N46" s="2" t="s">
        <v>153</v>
      </c>
      <c r="O46" s="8" t="s">
        <v>129</v>
      </c>
    </row>
  </sheetData>
  <autoFilter ref="A1:O46" xr:uid="{00000000-0009-0000-0000-000001000000}"/>
  <dataValidations count="3">
    <dataValidation type="list" sqref="I2:I46" xr:uid="{00000000-0002-0000-0100-000000000000}">
      <formula1>"Passed,Failed,Not Executed"</formula1>
    </dataValidation>
    <dataValidation type="list" sqref="B2:B46" xr:uid="{00000000-0002-0000-0100-000001000000}">
      <formula1>"FR-07,FR-10,FR-11,FR-18,FR-23"</formula1>
    </dataValidation>
    <dataValidation type="list" sqref="L2:L46" xr:uid="{00000000-0002-0000-0100-000002000000}">
      <formula1>"AI,Human-added,Hybrid"</formula1>
    </dataValidation>
  </dataValidations>
  <hyperlinks>
    <hyperlink ref="O3" r:id="rId1" xr:uid="{00000000-0004-0000-0100-000000000000}"/>
    <hyperlink ref="O4" r:id="rId2" xr:uid="{00000000-0004-0000-0100-000001000000}"/>
    <hyperlink ref="O5" r:id="rId3" xr:uid="{00000000-0004-0000-0100-000002000000}"/>
    <hyperlink ref="O6" r:id="rId4" xr:uid="{00000000-0004-0000-0100-000003000000}"/>
    <hyperlink ref="O10" r:id="rId5" xr:uid="{00000000-0004-0000-0100-000004000000}"/>
    <hyperlink ref="O11" r:id="rId6" xr:uid="{00000000-0004-0000-0100-000005000000}"/>
    <hyperlink ref="O12" r:id="rId7" xr:uid="{00000000-0004-0000-0100-000006000000}"/>
    <hyperlink ref="O14" r:id="rId8" xr:uid="{00000000-0004-0000-0100-000007000000}"/>
    <hyperlink ref="O17" r:id="rId9" xr:uid="{00000000-0004-0000-0100-000008000000}"/>
    <hyperlink ref="O18" r:id="rId10" xr:uid="{00000000-0004-0000-0100-000009000000}"/>
    <hyperlink ref="O19" r:id="rId11" xr:uid="{00000000-0004-0000-0100-00000A000000}"/>
    <hyperlink ref="O25" r:id="rId12" xr:uid="{00000000-0004-0000-0100-00000B000000}"/>
    <hyperlink ref="O27" r:id="rId13" xr:uid="{00000000-0004-0000-0100-00000C000000}"/>
    <hyperlink ref="O29" r:id="rId14" xr:uid="{00000000-0004-0000-0100-00000D000000}"/>
    <hyperlink ref="O30" r:id="rId15" xr:uid="{00000000-0004-0000-0100-00000E000000}"/>
    <hyperlink ref="O32" r:id="rId16" xr:uid="{00000000-0004-0000-0100-00000F000000}"/>
    <hyperlink ref="O33" r:id="rId17" xr:uid="{00000000-0004-0000-0100-000010000000}"/>
    <hyperlink ref="O36" r:id="rId18" xr:uid="{00000000-0004-0000-0100-000011000000}"/>
    <hyperlink ref="O37" r:id="rId19" xr:uid="{00000000-0004-0000-0100-000012000000}"/>
    <hyperlink ref="O38" r:id="rId20" xr:uid="{00000000-0004-0000-0100-000013000000}"/>
    <hyperlink ref="O39" r:id="rId21" xr:uid="{00000000-0004-0000-0100-000014000000}"/>
    <hyperlink ref="O40" r:id="rId22" xr:uid="{00000000-0004-0000-0100-000015000000}"/>
    <hyperlink ref="O41" r:id="rId23" xr:uid="{00000000-0004-0000-0100-000016000000}"/>
    <hyperlink ref="O43" r:id="rId24" xr:uid="{00000000-0004-0000-0100-000017000000}"/>
    <hyperlink ref="O44" r:id="rId25" xr:uid="{00000000-0004-0000-0100-000018000000}"/>
    <hyperlink ref="O45" r:id="rId26" xr:uid="{00000000-0004-0000-0100-000019000000}"/>
    <hyperlink ref="O46" r:id="rId27" xr:uid="{00000000-0004-0000-0100-00001A000000}"/>
  </hyperlinks>
  <pageMargins left="0.25" right="0.25" top="0.5" bottom="0.5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Test Summary</vt:lpstr>
      <vt:lpstr>GUI Checklist</vt:lpstr>
      <vt:lpstr>'GUI Checklist'!Print_Area</vt:lpstr>
      <vt:lpstr>'GUI Checklist'!Print_Titles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LÊ TUẤN LỘC</cp:lastModifiedBy>
  <dcterms:created xsi:type="dcterms:W3CDTF">2026-08-03T03:05:41Z</dcterms:created>
  <dcterms:modified xsi:type="dcterms:W3CDTF">2026-08-03T03:06:05Z</dcterms:modified>
</cp:coreProperties>
</file>